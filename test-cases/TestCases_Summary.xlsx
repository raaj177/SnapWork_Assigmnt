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Web" state="visible" r:id="rId5"/>
    <sheet sheetId="3" name="Mobile" state="visible" r:id="rId6"/>
    <sheet sheetId="4" name="AC Traceability" state="visible" r:id="rId7"/>
  </sheets>
  <calcPr calcId="171027"/>
</workbook>
</file>

<file path=xl/sharedStrings.xml><?xml version="1.0" encoding="utf-8"?>
<sst xmlns="http://schemas.openxmlformats.org/spreadsheetml/2006/main" count="1364" uniqueCount="490">
  <si>
    <t>US_LOGIN_001 - Login Test Case Summary</t>
  </si>
  <si>
    <t>Execution Type</t>
  </si>
  <si>
    <t>Web</t>
  </si>
  <si>
    <t>Mobile</t>
  </si>
  <si>
    <t>Total</t>
  </si>
  <si>
    <t>Manual</t>
  </si>
  <si>
    <t>Automation</t>
  </si>
  <si>
    <t>Both</t>
  </si>
  <si>
    <t>Total test cases</t>
  </si>
  <si>
    <t>Execution Status</t>
  </si>
  <si>
    <t>Not Executed</t>
  </si>
  <si>
    <t>Pass</t>
  </si>
  <si>
    <t>Fail</t>
  </si>
  <si>
    <t>Blocked</t>
  </si>
  <si>
    <t>Test Type</t>
  </si>
  <si>
    <t>Compatibility</t>
  </si>
  <si>
    <t>Navigation</t>
  </si>
  <si>
    <t>Negative</t>
  </si>
  <si>
    <t>Positive</t>
  </si>
  <si>
    <t>Security</t>
  </si>
  <si>
    <t>UI</t>
  </si>
  <si>
    <t>Validation</t>
  </si>
  <si>
    <t>Notes</t>
  </si>
  <si>
    <t>Both = executed manually first and automated for regression.</t>
  </si>
  <si>
    <t>Pre-filled Fail results come from the exploratory run on 2026-10-12; see docs/ac-deviations.md.</t>
  </si>
  <si>
    <t>Tags containing @known-issue mark tests expected to fail until the application is fixed.</t>
  </si>
  <si>
    <t>Test Case ID</t>
  </si>
  <si>
    <t>User Story ID</t>
  </si>
  <si>
    <t>Platform (Web/Mobile)</t>
  </si>
  <si>
    <t>Test Scenario</t>
  </si>
  <si>
    <t>Test Case Description</t>
  </si>
  <si>
    <t>Preconditions</t>
  </si>
  <si>
    <t>Test Steps</t>
  </si>
  <si>
    <t>Test Data</t>
  </si>
  <si>
    <t>Expected Result</t>
  </si>
  <si>
    <t>Execution Type (Manual/Automation/Both)</t>
  </si>
  <si>
    <t>Automation Priority</t>
  </si>
  <si>
    <t>Actual Result</t>
  </si>
  <si>
    <t>AC Ref</t>
  </si>
  <si>
    <t>Priority</t>
  </si>
  <si>
    <t>Automation Tags</t>
  </si>
  <si>
    <t>Automation Script Ref</t>
  </si>
  <si>
    <t>Remarks</t>
  </si>
  <si>
    <t>TC_WEB_LOGIN_001</t>
  </si>
  <si>
    <t>US_LOGIN_001</t>
  </si>
  <si>
    <t>Successful login</t>
  </si>
  <si>
    <t>Verify a registered user can log in with valid credentials.</t>
  </si>
  <si>
    <t>Browser open on https://www.saucedemo.com/; user not logged in.</t>
  </si>
  <si>
    <t xml:space="preserve">1. Open the login page
2. Enter the username
3. Enter the password
4. Click Login</t>
  </si>
  <si>
    <t>standard_user / secret_sauce</t>
  </si>
  <si>
    <t>User lands on /inventory.html; 'Products' title and 6 inventory items are displayed.</t>
  </si>
  <si>
    <t>P1</t>
  </si>
  <si>
    <t/>
  </si>
  <si>
    <t>AC2, AC4, AC7</t>
  </si>
  <si>
    <t>High</t>
  </si>
  <si>
    <t>@smoke @regression</t>
  </si>
  <si>
    <t>Pending</t>
  </si>
  <si>
    <t>TC_WEB_LOGIN_002</t>
  </si>
  <si>
    <t>Login screen controls</t>
  </si>
  <si>
    <t>Verify the login screen shows Username, Password and Login controls.</t>
  </si>
  <si>
    <t>Browser open on the login page.</t>
  </si>
  <si>
    <t xml:space="preserve">1. Open the login page
2. Observe the form</t>
  </si>
  <si>
    <t>N/A</t>
  </si>
  <si>
    <t>Username field (placeholder 'Username'), Password field (placeholder 'Password') and 'Login' button are visible and enabled.</t>
  </si>
  <si>
    <t>AC1</t>
  </si>
  <si>
    <t>TC_WEB_LOGIN_003</t>
  </si>
  <si>
    <t>Password masking</t>
  </si>
  <si>
    <t>Verify the password is masked while typed.</t>
  </si>
  <si>
    <t xml:space="preserve">1. Type a password into the Password field
2. Observe the field</t>
  </si>
  <si>
    <t>secret_sauce</t>
  </si>
  <si>
    <t>Characters are shown as dots; the field type is 'password'.</t>
  </si>
  <si>
    <t>AC3</t>
  </si>
  <si>
    <t>TC_WEB_LOGIN_004</t>
  </si>
  <si>
    <t>Login with Enter key</t>
  </si>
  <si>
    <t>Verify pressing Enter in the Password field submits the form.</t>
  </si>
  <si>
    <t xml:space="preserve">1. Enter valid username
2. Enter valid password
3. Press Enter</t>
  </si>
  <si>
    <t>User lands on /inventory.html.</t>
  </si>
  <si>
    <t>P2</t>
  </si>
  <si>
    <t>AC2, AC4</t>
  </si>
  <si>
    <t>Medium</t>
  </si>
  <si>
    <t>@regression</t>
  </si>
  <si>
    <t>TC_WEB_LOGIN_005</t>
  </si>
  <si>
    <t>Mandatory fields - both empty</t>
  </si>
  <si>
    <t>Verify submitting with both fields empty shows a validation error.</t>
  </si>
  <si>
    <t xml:space="preserve">1. Leave both fields empty
2. Click Login</t>
  </si>
  <si>
    <t>Username: (empty), Password: (empty)</t>
  </si>
  <si>
    <t>Error 'Epic sadface: Username is required' is shown; user stays on the login page.</t>
  </si>
  <si>
    <t>AC6</t>
  </si>
  <si>
    <t>@smoke @negative @regression</t>
  </si>
  <si>
    <t>TC_WEB_LOGIN_006</t>
  </si>
  <si>
    <t>Mandatory fields - password empty</t>
  </si>
  <si>
    <t>Verify submitting a username without a password shows a validation error.</t>
  </si>
  <si>
    <t xml:space="preserve">1. Enter a username
2. Leave Password empty
3. Click Login</t>
  </si>
  <si>
    <t>standard_user / (empty)</t>
  </si>
  <si>
    <t>Error 'Epic sadface: Password is required' is shown; user stays on the login page.</t>
  </si>
  <si>
    <t>@negative @regression</t>
  </si>
  <si>
    <t>TC_WEB_LOGIN_007</t>
  </si>
  <si>
    <t>Mandatory fields - username empty</t>
  </si>
  <si>
    <t>Verify submitting a password without a username shows a validation error.</t>
  </si>
  <si>
    <t xml:space="preserve">1. Leave Username empty
2. Enter a password
3. Click Login</t>
  </si>
  <si>
    <t>(empty) / secret_sauce</t>
  </si>
  <si>
    <t>TC_WEB_LOGIN_008</t>
  </si>
  <si>
    <t>Invalid username, valid password</t>
  </si>
  <si>
    <t>Verify login fails for an unknown username.</t>
  </si>
  <si>
    <t xml:space="preserve">1. Enter an unknown username
2. Enter the valid password
3. Click Login</t>
  </si>
  <si>
    <t>invalid_user / secret_sauce</t>
  </si>
  <si>
    <t>Error 'Epic sadface: Username and password do not match any user in this service' is shown; no login.</t>
  </si>
  <si>
    <t>AC5</t>
  </si>
  <si>
    <t>TC_WEB_LOGIN_009</t>
  </si>
  <si>
    <t>Valid username, invalid password</t>
  </si>
  <si>
    <t>Verify login fails for a valid username with a wrong password.</t>
  </si>
  <si>
    <t xml:space="preserve">1. Enter a valid username
2. Enter a wrong password
3. Click Login</t>
  </si>
  <si>
    <t>standard_user / wrong_password</t>
  </si>
  <si>
    <t>TC_WEB_LOGIN_010</t>
  </si>
  <si>
    <t>Invalid username and invalid password</t>
  </si>
  <si>
    <t>Verify login fails when both credentials are wrong.</t>
  </si>
  <si>
    <t xml:space="preserve">1. Enter an unknown username
2. Enter a wrong password
3. Click Login</t>
  </si>
  <si>
    <t>invalid_user / wrong_password</t>
  </si>
  <si>
    <t>TC_WEB_LOGIN_011</t>
  </si>
  <si>
    <t>Username is case sensitive</t>
  </si>
  <si>
    <t>Verify the username is case sensitive.</t>
  </si>
  <si>
    <t xml:space="preserve">1. Enter the username in upper case
2. Enter the valid password
3. Click Login</t>
  </si>
  <si>
    <t>STANDARD_USER / secret_sauce</t>
  </si>
  <si>
    <t>Login is rejected with the 'do not match any user' error.</t>
  </si>
  <si>
    <t>TC_WEB_LOGIN_012</t>
  </si>
  <si>
    <t>Password is case sensitive</t>
  </si>
  <si>
    <t>Verify the password is case sensitive.</t>
  </si>
  <si>
    <t xml:space="preserve">1. Enter the valid username
2. Enter the password in upper case
3. Click Login</t>
  </si>
  <si>
    <t>standard_user / SECRET_SAUCE</t>
  </si>
  <si>
    <t>TC_WEB_LOGIN_013</t>
  </si>
  <si>
    <t>Leading and trailing spaces in username</t>
  </si>
  <si>
    <t>Verify a username padded with spaces is not accepted.</t>
  </si>
  <si>
    <t xml:space="preserve">1. Enter the username with a leading and trailing space
2. Enter the valid password
3. Click Login</t>
  </si>
  <si>
    <t>' standard_user ' / secret_sauce</t>
  </si>
  <si>
    <t>P3</t>
  </si>
  <si>
    <t>Low</t>
  </si>
  <si>
    <t>TC_WEB_LOGIN_014</t>
  </si>
  <si>
    <t>Locked out user</t>
  </si>
  <si>
    <t>Verify a locked out user cannot log in.</t>
  </si>
  <si>
    <t xml:space="preserve">1. Enter the locked out username
2. Enter the valid password
3. Click Login</t>
  </si>
  <si>
    <t>locked_out_user / secret_sauce</t>
  </si>
  <si>
    <t>Error 'Epic sadface: Sorry, this user has been locked out.' is shown; no login.</t>
  </si>
  <si>
    <t>TC_WEB_LOGIN_015</t>
  </si>
  <si>
    <t>Dismiss error message</t>
  </si>
  <si>
    <t>Verify the error banner can be dismissed with the close button.</t>
  </si>
  <si>
    <t>An error banner is displayed after a failed login.</t>
  </si>
  <si>
    <t xml:space="preserve">1. Trigger a validation error
2. Click the close (X) button on the banner</t>
  </si>
  <si>
    <t>Empty credentials</t>
  </si>
  <si>
    <t>The error banner disappears.</t>
  </si>
  <si>
    <t>TC_WEB_LOGIN_016</t>
  </si>
  <si>
    <t>Error field highlighting</t>
  </si>
  <si>
    <t>Verify both input fields and the error banner are visually highlighted on error.</t>
  </si>
  <si>
    <t xml:space="preserve">1. Click Login with empty fields
2. Observe the fields and banner</t>
  </si>
  <si>
    <t>Fields show a red border and error icon; the banner is red with readable text.</t>
  </si>
  <si>
    <t>NA</t>
  </si>
  <si>
    <t>AC5, AC6</t>
  </si>
  <si>
    <t>TC_WEB_LOGIN_017</t>
  </si>
  <si>
    <t>Authenticated screen content</t>
  </si>
  <si>
    <t>Verify the authenticated screen shows the product list after login.</t>
  </si>
  <si>
    <t>User logged in as standard_user.</t>
  </si>
  <si>
    <t xml:space="preserve">1. Log in with valid credentials
2. Observe the inventory page</t>
  </si>
  <si>
    <t>URL is /inventory.html, header 'Swag Labs', title 'Products' and 6 products with 'Add to cart' buttons.</t>
  </si>
  <si>
    <t>AC7</t>
  </si>
  <si>
    <t>TC_WEB_LOGIN_018</t>
  </si>
  <si>
    <t>Logout</t>
  </si>
  <si>
    <t>Verify a logged-in user can log out from the menu.</t>
  </si>
  <si>
    <t xml:space="preserve">1. Click the menu button
2. Click Logout</t>
  </si>
  <si>
    <t>User returns to the login page at https://www.saucedemo.com/ with empty Username and Password fields.</t>
  </si>
  <si>
    <t>AC9</t>
  </si>
  <si>
    <t>TC_WEB_LOGIN_019</t>
  </si>
  <si>
    <t>Browser Back after logout</t>
  </si>
  <si>
    <t>Verify the Back button after logout does not reveal authenticated content.</t>
  </si>
  <si>
    <t>User has just logged out.</t>
  </si>
  <si>
    <t xml:space="preserve">1. Log in
2. Log out
3. Click the browser Back button</t>
  </si>
  <si>
    <t>Login page is shown with the error 'You can only access '/inventory.html' when you are logged in.'; no products visible.</t>
  </si>
  <si>
    <t>AC8, AC9</t>
  </si>
  <si>
    <t>@security @regression</t>
  </si>
  <si>
    <t>TC_WEB_LOGIN_020</t>
  </si>
  <si>
    <t>Direct URL to inventory without login</t>
  </si>
  <si>
    <t>Verify the inventory page cannot be opened without logging in.</t>
  </si>
  <si>
    <t>No active session (cookies cleared).</t>
  </si>
  <si>
    <t>1. Open https://www.saucedemo.com/inventory.html directly</t>
  </si>
  <si>
    <t>Redirected to the login page with the error 'You can only access '/inventory.html' when you are logged in.'</t>
  </si>
  <si>
    <t>AC8</t>
  </si>
  <si>
    <t>@smoke @security @regression</t>
  </si>
  <si>
    <t>TC_WEB_LOGIN_021</t>
  </si>
  <si>
    <t>Direct URL to cart without login</t>
  </si>
  <si>
    <t>Verify the cart page cannot be opened without logging in.</t>
  </si>
  <si>
    <t>1. Open https://www.saucedemo.com/cart.html directly</t>
  </si>
  <si>
    <t>Redirected to the login page with the error 'You can only access '/cart.html' when you are logged in.'</t>
  </si>
  <si>
    <t>TC_WEB_LOGIN_022</t>
  </si>
  <si>
    <t>Session survives page refresh</t>
  </si>
  <si>
    <t>Verify the user stays logged in after refreshing the inventory page.</t>
  </si>
  <si>
    <t>User logged in.</t>
  </si>
  <si>
    <t xml:space="preserve">1. Log in
2. Refresh the browser</t>
  </si>
  <si>
    <t>User remains on /inventory.html with products displayed.</t>
  </si>
  <si>
    <t>AC4, AC7</t>
  </si>
  <si>
    <t>TC_WEB_LOGIN_023</t>
  </si>
  <si>
    <t>Logout clears session</t>
  </si>
  <si>
    <t>Verify logout removes the session cookie.</t>
  </si>
  <si>
    <t xml:space="preserve">1. Log in
2. Log out
3. Inspect cookies</t>
  </si>
  <si>
    <t>Cookie 'session-username' is removed.</t>
  </si>
  <si>
    <t>TC_WEB_LOGIN_024</t>
  </si>
  <si>
    <t>SQL injection in credentials</t>
  </si>
  <si>
    <t>Verify SQL injection strings do not bypass authentication.</t>
  </si>
  <si>
    <t xml:space="preserve">1. Enter the SQL payload in Username and Password
2. Click Login</t>
  </si>
  <si>
    <t>' OR 1=1 -- / ' OR 1=1 --</t>
  </si>
  <si>
    <t>Login is rejected with the 'do not match any user' error; no application error or stack trace.</t>
  </si>
  <si>
    <t>@security @negative @regression</t>
  </si>
  <si>
    <t>TC_WEB_LOGIN_025</t>
  </si>
  <si>
    <t>XSS payload in username</t>
  </si>
  <si>
    <t>Verify script input is neither executed nor reflected as HTML.</t>
  </si>
  <si>
    <t xml:space="preserve">1. Enter a script tag in Username
2. Enter any password
3. Click Login</t>
  </si>
  <si>
    <t>&lt;script&gt;alert(1)&lt;/script&gt; / x</t>
  </si>
  <si>
    <t>No dialog appears; the standard 'do not match any user' error is shown; payload is not rendered in the page.</t>
  </si>
  <si>
    <t>TC_WEB_LOGIN_026</t>
  </si>
  <si>
    <t>Credentials not exposed in URL or storage</t>
  </si>
  <si>
    <t>Verify the password is not placed in the URL, cookies or local storage.</t>
  </si>
  <si>
    <t xml:space="preserve">1. Log in with valid credentials
2. Inspect the URL, cookies and local storage</t>
  </si>
  <si>
    <t>'secret_sauce' does not appear in the URL, cookies or local storage.</t>
  </si>
  <si>
    <t>TC_WEB_LOGIN_027</t>
  </si>
  <si>
    <t>Forged session cookie</t>
  </si>
  <si>
    <t>Verify a manually created session cookie does not grant access without a successful login.</t>
  </si>
  <si>
    <t>No active session; browser dev tools or automation can set cookies.</t>
  </si>
  <si>
    <t xml:space="preserve">1. Open the login page
2. Set cookie session-username=standard_user
3. Open /inventory.html</t>
  </si>
  <si>
    <t>Cookie: session-username=standard_user</t>
  </si>
  <si>
    <t>Access is denied and the login page is shown.</t>
  </si>
  <si>
    <t>/inventory.html opened with 6 products using only the forged cookie.</t>
  </si>
  <si>
    <t>@security @known-issue</t>
  </si>
  <si>
    <t>Deviation D-W2. Exploratory run 2026-10-12.</t>
  </si>
  <si>
    <t>TC_WEB_LOGIN_028</t>
  </si>
  <si>
    <t>Error does not reveal which field is wrong</t>
  </si>
  <si>
    <t>Verify the error text is identical for a wrong username and a wrong password.</t>
  </si>
  <si>
    <t xml:space="preserve">1. Login with a wrong username, record the error
2. Login with a wrong password, record the error
3. Compare</t>
  </si>
  <si>
    <t>invalid_user / secret_sauce; standard_user / wrong_password</t>
  </si>
  <si>
    <t>Both errors are exactly 'Epic sadface: Username and password do not match any user in this service'.</t>
  </si>
  <si>
    <t>TC_WEB_LOGIN_029</t>
  </si>
  <si>
    <t>Very long input</t>
  </si>
  <si>
    <t>Verify very long username and password values are handled gracefully.</t>
  </si>
  <si>
    <t xml:space="preserve">1. Paste 1000 characters into Username and Password
2. Click Login</t>
  </si>
  <si>
    <t>1000 x 'a'</t>
  </si>
  <si>
    <t>Standard 'do not match any user' error; page does not break or hang.</t>
  </si>
  <si>
    <t>TC_WEB_LOGIN_030</t>
  </si>
  <si>
    <t>Special and unicode characters</t>
  </si>
  <si>
    <t>Verify special and unicode characters are handled gracefully.</t>
  </si>
  <si>
    <t xml:space="preserve">1. Enter special characters and unicode in Username
2. Enter any password
3. Click Login</t>
  </si>
  <si>
    <t>user!@#$%^&amp;*()_+ and ユーザー</t>
  </si>
  <si>
    <t>Standard 'do not match any user' error; no rendering issues.</t>
  </si>
  <si>
    <t>TC_WEB_LOGIN_031</t>
  </si>
  <si>
    <t>Credentials shown on login page</t>
  </si>
  <si>
    <t>Verify accepted usernames and the shared password are not displayed on the login page.</t>
  </si>
  <si>
    <t xml:space="preserve">1. Open the login page
2. Scroll to the bottom</t>
  </si>
  <si>
    <t>No usernames or password are displayed.</t>
  </si>
  <si>
    <t>Accepted usernames and the password 'secret_sauce' are printed on the page.</t>
  </si>
  <si>
    <t>Observation D-W1; by design for a demo site. Exploratory run 2026-10-12.</t>
  </si>
  <si>
    <t>TC_WEB_LOGIN_032</t>
  </si>
  <si>
    <t>Keyboard navigation</t>
  </si>
  <si>
    <t>Verify the form can be completed using the keyboard only.</t>
  </si>
  <si>
    <t xml:space="preserve">1. Press Tab to move to Username
2. Type username
3. Tab to Password and type
4. Tab to Login and press Enter</t>
  </si>
  <si>
    <t>Focus order is Username, Password, Login; focus indicator is visible; login succeeds.</t>
  </si>
  <si>
    <t>AC1, AC2</t>
  </si>
  <si>
    <t>TC_WEB_LOGIN_033</t>
  </si>
  <si>
    <t>Layout and responsiveness</t>
  </si>
  <si>
    <t>Verify the login page layout at desktop, tablet and mobile viewport sizes.</t>
  </si>
  <si>
    <t xml:space="preserve">1. Open the page at 1920x1080, 768x1024 and 375x667
2. Observe the form</t>
  </si>
  <si>
    <t>Form stays centered and usable with no overlap or horizontal scrolling.</t>
  </si>
  <si>
    <t>TC_WEB_LOGIN_034</t>
  </si>
  <si>
    <t>Cross-browser login</t>
  </si>
  <si>
    <t>Verify login works in Chromium, Firefox and WebKit.</t>
  </si>
  <si>
    <t>Browsers installed.</t>
  </si>
  <si>
    <t>1. Run the login flow in each browser</t>
  </si>
  <si>
    <t>Login succeeds in all browsers.</t>
  </si>
  <si>
    <t>AC4</t>
  </si>
  <si>
    <t>TC_WEB_LOGIN_035</t>
  </si>
  <si>
    <t>problem_user login</t>
  </si>
  <si>
    <t>Verify problem_user can log in.</t>
  </si>
  <si>
    <t xml:space="preserve">1. Enter problem_user credentials
2. Click Login</t>
  </si>
  <si>
    <t>problem_user / secret_sauce</t>
  </si>
  <si>
    <t>User lands on /inventory.html (product images are known to be incorrect for this user).</t>
  </si>
  <si>
    <t>TC_WEB_LOGIN_036</t>
  </si>
  <si>
    <t>performance_glitch_user login</t>
  </si>
  <si>
    <t>Verify performance_glitch_user can log in within an acceptable time.</t>
  </si>
  <si>
    <t xml:space="preserve">1. Enter performance_glitch_user credentials
2. Click Login</t>
  </si>
  <si>
    <t>performance_glitch_user / secret_sauce</t>
  </si>
  <si>
    <t>Inventory page loads within 10 seconds.</t>
  </si>
  <si>
    <t>TC_WEB_LOGIN_037</t>
  </si>
  <si>
    <t>Repeated rapid submit</t>
  </si>
  <si>
    <t>Verify double-clicking Login does not cause duplicate navigation or errors.</t>
  </si>
  <si>
    <t xml:space="preserve">1. Enter valid credentials
2. Double-click Login</t>
  </si>
  <si>
    <t>One login occurs; inventory page displays normally.</t>
  </si>
  <si>
    <t>TC_WEB_LOGIN_038</t>
  </si>
  <si>
    <t>Browser password manager prompts</t>
  </si>
  <si>
    <t>Document browser password-manager prompts that appear after login in a regular Chrome profile.</t>
  </si>
  <si>
    <t>Regular Chrome profile with Google Password Manager enabled.</t>
  </si>
  <si>
    <t xml:space="preserve">1. Log in with valid credentials
2. Observe browser popups</t>
  </si>
  <si>
    <t>Login succeeds; a browser 'Change your password' breach warning may appear and does not come from the application.</t>
  </si>
  <si>
    <t>Observation D-W6; does not occur in Playwright's clean profile.</t>
  </si>
  <si>
    <t>TC_MOB_LOGIN_001</t>
  </si>
  <si>
    <t>App installed and launched; Login screen opened from the menu.</t>
  </si>
  <si>
    <t xml:space="preserve">1. Tap the menu icon
2. Tap Log In
3. Observe the screen</t>
  </si>
  <si>
    <t>Username field, Password field and 'Login' button are displayed.</t>
  </si>
  <si>
    <t>TC_MOB_LOGIN_002</t>
  </si>
  <si>
    <t>Open Login from the menu</t>
  </si>
  <si>
    <t>Verify the Login screen is reachable from the navigation menu.</t>
  </si>
  <si>
    <t>App launched; user logged out.</t>
  </si>
  <si>
    <t xml:space="preserve">1. Tap 'View menu'
2. Tap 'Log In'</t>
  </si>
  <si>
    <t>Login screen with the 'Login' title is displayed; the menu shows 'Log In' while logged out.</t>
  </si>
  <si>
    <t>AC7, AC8</t>
  </si>
  <si>
    <t>TC_MOB_LOGIN_003</t>
  </si>
  <si>
    <t>Verify a user can log in with valid credentials.</t>
  </si>
  <si>
    <t>Login screen displayed.</t>
  </si>
  <si>
    <t xml:space="preserve">1. Enter username
2. Enter password
3. Tap Login</t>
  </si>
  <si>
    <t>bod@example.com / 10203040</t>
  </si>
  <si>
    <t>Products screen is displayed and the menu now shows 'Log Out'.</t>
  </si>
  <si>
    <t>TC_MOB_LOGIN_004</t>
  </si>
  <si>
    <t xml:space="preserve">1. Type a password
2. Observe the field</t>
  </si>
  <si>
    <t>10203040</t>
  </si>
  <si>
    <t>Characters are masked; the Password field is of password type.</t>
  </si>
  <si>
    <t>TC_MOB_LOGIN_005</t>
  </si>
  <si>
    <t>Autofill from listed username</t>
  </si>
  <si>
    <t>Verify tapping a listed username populates both fields.</t>
  </si>
  <si>
    <t>1. Tap the underlined 'bod@example.com' in the Usernames list</t>
  </si>
  <si>
    <t>bod@example.com</t>
  </si>
  <si>
    <t>Username shows bod@example.com and Password is filled.</t>
  </si>
  <si>
    <t>AC2</t>
  </si>
  <si>
    <t>TC_MOB_LOGIN_006</t>
  </si>
  <si>
    <t>Verify submitting empty fields shows a validation message.</t>
  </si>
  <si>
    <t xml:space="preserve">1. Leave both fields empty
2. Tap Login</t>
  </si>
  <si>
    <t>(empty) / (empty)</t>
  </si>
  <si>
    <t>'Username is required' is displayed; no password error is shown; user stays on the Login screen.</t>
  </si>
  <si>
    <t>TC_MOB_LOGIN_007</t>
  </si>
  <si>
    <t>Verify a username without a password shows a validation message.</t>
  </si>
  <si>
    <t xml:space="preserve">1. Enter username
2. Leave Password empty
3. Tap Login</t>
  </si>
  <si>
    <t>bod@example.com / (empty)</t>
  </si>
  <si>
    <t>A password-required message is displayed. App text is 'Enter Password'.</t>
  </si>
  <si>
    <t>AC wording suggests 'Password is required'; app text differs (D-M5).</t>
  </si>
  <si>
    <t>TC_MOB_LOGIN_008</t>
  </si>
  <si>
    <t>Verify a password without a username shows a validation message.</t>
  </si>
  <si>
    <t xml:space="preserve">1. Leave Username empty
2. Enter password
3. Tap Login</t>
  </si>
  <si>
    <t>(empty) / 10203040</t>
  </si>
  <si>
    <t>'Username is required' is displayed; user stays on the Login screen.</t>
  </si>
  <si>
    <t>TC_MOB_LOGIN_009</t>
  </si>
  <si>
    <t>Verify login is rejected for a valid username with a wrong password.</t>
  </si>
  <si>
    <t xml:space="preserve">1. Enter valid username
2. Enter a wrong password
3. Tap Login</t>
  </si>
  <si>
    <t>bod@example.com / wrongpass</t>
  </si>
  <si>
    <t>An error message is displayed and the user is not logged in.</t>
  </si>
  <si>
    <t>No error. User logged in and the Products screen opened.</t>
  </si>
  <si>
    <t>@negative @regression @known-issue</t>
  </si>
  <si>
    <t>Deviation D-M1. Exploratory run 2026-10-12.</t>
  </si>
  <si>
    <t>TC_MOB_LOGIN_010</t>
  </si>
  <si>
    <t>Invalid username and password</t>
  </si>
  <si>
    <t>Verify login is rejected when both credentials are wrong.</t>
  </si>
  <si>
    <t xml:space="preserve">1. Enter unknown username
2. Enter a wrong password
3. Tap Login</t>
  </si>
  <si>
    <t>unknown@example.com / wrongpass</t>
  </si>
  <si>
    <t>Expected to deviate (D-M1); not run during exploration.</t>
  </si>
  <si>
    <t>TC_MOB_LOGIN_011</t>
  </si>
  <si>
    <t>Verify the locked-out user cannot log in.</t>
  </si>
  <si>
    <t xml:space="preserve">1. Enter the locked-out username
2. Enter password
3. Tap Login</t>
  </si>
  <si>
    <t>alice@example.com / 10203040</t>
  </si>
  <si>
    <t>'Sorry this user has been locked out.' is displayed; user stays on the Login screen.</t>
  </si>
  <si>
    <t>TC_MOB_LOGIN_012</t>
  </si>
  <si>
    <t>Verify a logged-in user can log out.</t>
  </si>
  <si>
    <t xml:space="preserve">1. Tap 'View menu'
2. Tap 'Log Out'
3. Tap LOGOUT in the confirmation dialog</t>
  </si>
  <si>
    <t>Dialog 'Are you sure you want to logout' appears; after LOGOUT the Login screen is displayed with empty fields.</t>
  </si>
  <si>
    <t>TC_MOB_LOGIN_013</t>
  </si>
  <si>
    <t>Cancel logout</t>
  </si>
  <si>
    <t>Verify cancelling the logout dialog keeps the user logged in.</t>
  </si>
  <si>
    <t xml:space="preserve">1. Tap 'View menu'
2. Tap 'Log Out'
3. Tap CANCEL</t>
  </si>
  <si>
    <t>Dialog closes; the user remains logged in and the menu still shows 'Log Out'.</t>
  </si>
  <si>
    <t>TC_MOB_LOGIN_014</t>
  </si>
  <si>
    <t>Menu state after logout</t>
  </si>
  <si>
    <t>Verify the menu offers 'Log In' again after logout.</t>
  </si>
  <si>
    <t xml:space="preserve">1. Log in
2. Log out
3. Open the menu</t>
  </si>
  <si>
    <t>Menu shows 'Log In' and no 'Log Out'.</t>
  </si>
  <si>
    <t>TC_MOB_LOGIN_015</t>
  </si>
  <si>
    <t>Access without login</t>
  </si>
  <si>
    <t>Verify authenticated content is not accessible before login.</t>
  </si>
  <si>
    <t>App freshly launched; no login.</t>
  </si>
  <si>
    <t xml:space="preserve">1. Launch the app
2. Observe the first screen</t>
  </si>
  <si>
    <t>Login screen is shown, or authenticated content is blocked until login.</t>
  </si>
  <si>
    <t>App opens directly on Products with the catalog and cart usable without logging in.</t>
  </si>
  <si>
    <t>Deviation D-M2 / AC8. Exploratory run 2026-10-12.</t>
  </si>
  <si>
    <t>TC_MOB_LOGIN_016</t>
  </si>
  <si>
    <t>Checkout without login</t>
  </si>
  <si>
    <t>Verify starting checkout while logged out redirects to Login.</t>
  </si>
  <si>
    <t>Logged out; at least one item in the cart.</t>
  </si>
  <si>
    <t xml:space="preserve">1. Add an item to the cart
2. Open the cart
3. Tap Proceed To Checkout</t>
  </si>
  <si>
    <t>Login screen is displayed; after login the user continues to checkout info.</t>
  </si>
  <si>
    <t>Behavior taken from source; not run during exploration.</t>
  </si>
  <si>
    <t>TC_MOB_LOGIN_017</t>
  </si>
  <si>
    <t>Back button after logout</t>
  </si>
  <si>
    <t>Verify the system Back button after logout does not return to an authenticated state.</t>
  </si>
  <si>
    <t xml:space="preserve">1. Log in
2. Log out
3. Press the device Back button</t>
  </si>
  <si>
    <t>App does not show a logged-in session; the menu still offers 'Log In'.</t>
  </si>
  <si>
    <t>Not run during exploration.</t>
  </si>
  <si>
    <t>TC_MOB_LOGIN_018</t>
  </si>
  <si>
    <t>Whitespace-only credentials</t>
  </si>
  <si>
    <t>Verify whitespace-only values are treated as empty.</t>
  </si>
  <si>
    <t xml:space="preserve">1. Enter spaces in Username and Password
2. Tap Login</t>
  </si>
  <si>
    <t>'   ' / '   '</t>
  </si>
  <si>
    <t>'Username is required' is displayed.</t>
  </si>
  <si>
    <t>Based on source (input is trimmed); not run.</t>
  </si>
  <si>
    <t>TC_MOB_LOGIN_019</t>
  </si>
  <si>
    <t xml:space="preserve">1. Enter the payload in Username and Password
2. Tap Login</t>
  </si>
  <si>
    <t>Login is rejected with an error.</t>
  </si>
  <si>
    <t>@security @negative @known-issue</t>
  </si>
  <si>
    <t>Expected to deviate (D-M1); not run.</t>
  </si>
  <si>
    <t>TC_MOB_LOGIN_020</t>
  </si>
  <si>
    <t>Session after app restart</t>
  </si>
  <si>
    <t>Document whether the login session persists after the app is force-stopped and reopened.</t>
  </si>
  <si>
    <t xml:space="preserve">1. Log in
2. Force-stop the app
3. Reopen the app
4. Open the menu</t>
  </si>
  <si>
    <t>Behavior is documented (source indicates the session is not persisted).</t>
  </si>
  <si>
    <t>TC_MOB_LOGIN_021</t>
  </si>
  <si>
    <t>Verify very long values do not crash the app.</t>
  </si>
  <si>
    <t xml:space="preserve">1. Paste 500 characters into both fields
2. Tap Login</t>
  </si>
  <si>
    <t>500 x 'a'</t>
  </si>
  <si>
    <t>No crash or freeze; app responds as for any other credentials.</t>
  </si>
  <si>
    <t>TC_MOB_LOGIN_022</t>
  </si>
  <si>
    <t>Orientation change</t>
  </si>
  <si>
    <t>Verify entered values and layout survive rotation.</t>
  </si>
  <si>
    <t xml:space="preserve">1. Type credentials
2. Rotate the device to landscape and back</t>
  </si>
  <si>
    <t>No crash; fields and Login button remain usable (note any lost input).</t>
  </si>
  <si>
    <t>TC_MOB_LOGIN_023</t>
  </si>
  <si>
    <t>Keyboard behavior</t>
  </si>
  <si>
    <t>Verify the soft keyboard does not hide the Login button and IME actions work.</t>
  </si>
  <si>
    <t xml:space="preserve">1. Tap Username
2. Use the keyboard Next/Done action
3. Scroll if needed to reach Login</t>
  </si>
  <si>
    <t>Fields and Login button remain reachable; keyboard can be dismissed.</t>
  </si>
  <si>
    <t>TC_MOB_LOGIN_024</t>
  </si>
  <si>
    <t>Biometric button visibility</t>
  </si>
  <si>
    <t>Verify the biometric login button is hidden when biometrics are not enabled.</t>
  </si>
  <si>
    <t>Biometric login not enabled in the app.</t>
  </si>
  <si>
    <t xml:space="preserve">1. Open the Login screen
2. Observe the button area</t>
  </si>
  <si>
    <t>Only the 'Login' button is shown.</t>
  </si>
  <si>
    <t>TC_MOB_LOGIN_025</t>
  </si>
  <si>
    <t>Visual user login</t>
  </si>
  <si>
    <t>Verify visual@example.com can log in.</t>
  </si>
  <si>
    <t xml:space="preserve">1. Tap the 'visual@example.com' listed username
2. Tap Login</t>
  </si>
  <si>
    <t>visual@example.com / 10203040</t>
  </si>
  <si>
    <t>Products screen is displayed.</t>
  </si>
  <si>
    <t>TC_MOB_LOGIN_026</t>
  </si>
  <si>
    <t>Credentials shown on login screen</t>
  </si>
  <si>
    <t>Verify usernames and the password are not listed on the Login screen.</t>
  </si>
  <si>
    <t xml:space="preserve">1. Open the Login screen
2. Scroll to the Usernames list</t>
  </si>
  <si>
    <t>No credentials are displayed.</t>
  </si>
  <si>
    <t>Usernames and the password are listed on the screen (from source and layout).</t>
  </si>
  <si>
    <t>Observation D-M4; by design for a demo app.</t>
  </si>
  <si>
    <t>TC_MOB_LOGIN_027</t>
  </si>
  <si>
    <t>Accessibility labels</t>
  </si>
  <si>
    <t>Verify the login controls expose accessibility descriptions for TalkBack.</t>
  </si>
  <si>
    <t>TalkBack enabled.</t>
  </si>
  <si>
    <t>1. Focus each control on the Login screen</t>
  </si>
  <si>
    <t>Each control is announced with a meaningful name.</t>
  </si>
  <si>
    <t>AC1, AC3</t>
  </si>
  <si>
    <t>TC_MOB_LOGIN_028</t>
  </si>
  <si>
    <t>Password not leaked to logs</t>
  </si>
  <si>
    <t>Verify the password is not written to logcat during login.</t>
  </si>
  <si>
    <t>Device connected with adb.</t>
  </si>
  <si>
    <t xml:space="preserve">1. Clear logcat
2. Log in
3. Search logcat for the password</t>
  </si>
  <si>
    <t>The password value does not appear in logcat.</t>
  </si>
  <si>
    <t>AC</t>
  </si>
  <si>
    <t>Acceptance Criterion</t>
  </si>
  <si>
    <t>Web Test Cases</t>
  </si>
  <si>
    <t>Mobile Test Cases</t>
  </si>
  <si>
    <t>Login screen displays Username, Password and Login controls</t>
  </si>
  <si>
    <t>WEB_002, WEB_031, WEB_032, WEB_033</t>
  </si>
  <si>
    <t>MOB_001, MOB_022, MOB_023, MOB_024, MOB_026, MOB_027</t>
  </si>
  <si>
    <t>User can enter valid credentials</t>
  </si>
  <si>
    <t>WEB_001, WEB_004, WEB_032</t>
  </si>
  <si>
    <t>MOB_003, MOB_005, MOB_022, MOB_023</t>
  </si>
  <si>
    <t>Password is masked</t>
  </si>
  <si>
    <t>WEB_003, WEB_026</t>
  </si>
  <si>
    <t>MOB_004, MOB_027, MOB_028</t>
  </si>
  <si>
    <t>Valid credentials allow successful login</t>
  </si>
  <si>
    <t>WEB_001, WEB_004, WEB_022, WEB_034, WEB_035, WEB_036, WEB_038</t>
  </si>
  <si>
    <t>MOB_003, MOB_020, MOB_025</t>
  </si>
  <si>
    <t>Invalid credentials display appropriate error messages</t>
  </si>
  <si>
    <t>WEB_008, WEB_009, WEB_010, WEB_011, WEB_012, WEB_013, WEB_014, WEB_015, WEB_016, WEB_024, WEB_025, WEB_028, WEB_029, WEB_030, WEB_037</t>
  </si>
  <si>
    <t>MOB_009, MOB_010, MOB_011, MOB_018, MOB_019, MOB_021</t>
  </si>
  <si>
    <t>Mandatory field validations are handled</t>
  </si>
  <si>
    <t>WEB_005, WEB_006, WEB_007, WEB_016</t>
  </si>
  <si>
    <t>MOB_006, MOB_007, MOB_008, MOB_018</t>
  </si>
  <si>
    <t>Successful login navigates to the authenticated screen</t>
  </si>
  <si>
    <t>WEB_001, WEB_017, WEB_022, WEB_035</t>
  </si>
  <si>
    <t>MOB_002, MOB_003</t>
  </si>
  <si>
    <t>Users cannot access authenticated screens without login</t>
  </si>
  <si>
    <t>WEB_019, WEB_020, WEB_021, WEB_027</t>
  </si>
  <si>
    <t>MOB_002, MOB_015, MOB_016, MOB_017</t>
  </si>
  <si>
    <t>User can log out, where supported</t>
  </si>
  <si>
    <t>WEB_018, WEB_019, WEB_023</t>
  </si>
  <si>
    <t>MOB_012, MOB_013, MOB_014, MOB_017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</si>
</sst>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C00000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D27"/>
  <sheetFormatPr defaultRowHeight="15" outlineLevelRow="0" outlineLevelCol="0" x14ac:dyDescent="55"/>
  <cols>
    <col min="1" max="1" width="36" customWidth="1"/>
    <col min="2" max="4" width="14" customWidth="1"/>
  </cols>
  <sheetData>
    <row r="1" spans="1:1" s="1" customFormat="1" x14ac:dyDescent="0.25">
      <c r="A1" s="1" t="s">
        <v>0</v>
      </c>
    </row>
    <row r="3" spans="1:4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t="s">
        <v>5</v>
      </c>
      <c r="B4">
        <f>COUNTIF(Web!K:K,"Manual")</f>
        <v>9</v>
      </c>
      <c r="C4">
        <f>COUNTIF(Mobile!K:K,"Manual")</f>
        <v>9</v>
      </c>
      <c r="D4">
        <f>B4+C4</f>
        <v>18</v>
      </c>
    </row>
    <row r="5" spans="1:4" x14ac:dyDescent="0.25">
      <c r="A5" t="s">
        <v>6</v>
      </c>
      <c r="B5">
        <f>COUNTIF(Web!K:K,"Automation")</f>
        <v>22</v>
      </c>
      <c r="C5">
        <f>COUNTIF(Mobile!K:K,"Automation")</f>
        <v>12</v>
      </c>
      <c r="D5">
        <f>B5+C5</f>
        <v>34</v>
      </c>
    </row>
    <row r="6" spans="1:4" x14ac:dyDescent="0.25">
      <c r="A6" t="s">
        <v>7</v>
      </c>
      <c r="B6">
        <f>COUNTIF(Web!K:K,"Both")</f>
        <v>7</v>
      </c>
      <c r="C6">
        <f>COUNTIF(Mobile!K:K,"Both")</f>
        <v>7</v>
      </c>
      <c r="D6">
        <f>B6+C6</f>
        <v>14</v>
      </c>
    </row>
    <row r="7" spans="1:4" s="2" customFormat="1" x14ac:dyDescent="0.25">
      <c r="A7" s="2" t="s">
        <v>8</v>
      </c>
      <c r="B7" s="2">
        <f>SUM(B4:B6)</f>
        <v>38</v>
      </c>
      <c r="C7" s="2">
        <f>SUM(C4:C6)</f>
        <v>28</v>
      </c>
      <c r="D7" s="2">
        <f>SUM(D4:D6)</f>
        <v>66</v>
      </c>
    </row>
    <row r="9" spans="1:4" s="2" customFormat="1" x14ac:dyDescent="0.25">
      <c r="A9" s="2" t="s">
        <v>9</v>
      </c>
      <c r="B9" s="2" t="s">
        <v>2</v>
      </c>
      <c r="C9" s="2" t="s">
        <v>3</v>
      </c>
      <c r="D9" s="2" t="s">
        <v>4</v>
      </c>
    </row>
    <row r="10" spans="1:4" x14ac:dyDescent="0.25">
      <c r="A10" t="s">
        <v>10</v>
      </c>
      <c r="B10">
        <f>COUNTIF(Web!N:N,"Not Executed")</f>
        <v>36</v>
      </c>
      <c r="C10">
        <f>COUNTIF(Mobile!N:N,"Not Executed")</f>
        <v>25</v>
      </c>
      <c r="D10">
        <f>B10+C10</f>
        <v>61</v>
      </c>
    </row>
    <row r="11" spans="1:4" x14ac:dyDescent="0.25">
      <c r="A11" t="s">
        <v>11</v>
      </c>
      <c r="B11">
        <f>COUNTIF(Web!N:N,"Pass")</f>
        <v>0</v>
      </c>
      <c r="C11">
        <f>COUNTIF(Mobile!N:N,"Pass")</f>
        <v>0</v>
      </c>
      <c r="D11">
        <f>B11+C11</f>
        <v>0</v>
      </c>
    </row>
    <row r="12" spans="1:4" x14ac:dyDescent="0.25">
      <c r="A12" t="s">
        <v>12</v>
      </c>
      <c r="B12">
        <f>COUNTIF(Web!N:N,"Fail")</f>
        <v>2</v>
      </c>
      <c r="C12">
        <f>COUNTIF(Mobile!N:N,"Fail")</f>
        <v>3</v>
      </c>
      <c r="D12">
        <f>B12+C12</f>
        <v>5</v>
      </c>
    </row>
    <row r="13" spans="1:4" x14ac:dyDescent="0.25">
      <c r="A13" t="s">
        <v>13</v>
      </c>
      <c r="B13">
        <f>COUNTIF(Web!N:N,"Blocked")</f>
        <v>0</v>
      </c>
      <c r="C13">
        <f>COUNTIF(Mobile!N:N,"Blocked")</f>
        <v>0</v>
      </c>
      <c r="D13">
        <f>B13+C13</f>
        <v>0</v>
      </c>
    </row>
    <row r="15" spans="1:4" s="2" customFormat="1" x14ac:dyDescent="0.25">
      <c r="A15" s="2" t="s">
        <v>14</v>
      </c>
      <c r="B15" s="2" t="s">
        <v>2</v>
      </c>
      <c r="C15" s="2" t="s">
        <v>3</v>
      </c>
      <c r="D15" s="2" t="s">
        <v>4</v>
      </c>
    </row>
    <row r="16" spans="1:4" x14ac:dyDescent="0.25">
      <c r="A16" t="s">
        <v>15</v>
      </c>
      <c r="B16">
        <v>2</v>
      </c>
      <c r="C16">
        <v>0</v>
      </c>
      <c r="D16">
        <v>2</v>
      </c>
    </row>
    <row r="17" spans="1:4" x14ac:dyDescent="0.25">
      <c r="A17" t="s">
        <v>16</v>
      </c>
      <c r="B17">
        <v>1</v>
      </c>
      <c r="C17">
        <v>6</v>
      </c>
      <c r="D17">
        <v>7</v>
      </c>
    </row>
    <row r="18" spans="1:4" x14ac:dyDescent="0.25">
      <c r="A18" t="s">
        <v>17</v>
      </c>
      <c r="B18">
        <v>10</v>
      </c>
      <c r="C18">
        <v>4</v>
      </c>
      <c r="D18">
        <v>14</v>
      </c>
    </row>
    <row r="19" spans="1:4" x14ac:dyDescent="0.25">
      <c r="A19" t="s">
        <v>18</v>
      </c>
      <c r="B19">
        <v>6</v>
      </c>
      <c r="C19">
        <v>3</v>
      </c>
      <c r="D19">
        <v>9</v>
      </c>
    </row>
    <row r="20" spans="1:4" x14ac:dyDescent="0.25">
      <c r="A20" t="s">
        <v>19</v>
      </c>
      <c r="B20">
        <v>10</v>
      </c>
      <c r="C20">
        <v>5</v>
      </c>
      <c r="D20">
        <v>15</v>
      </c>
    </row>
    <row r="21" spans="1:4" x14ac:dyDescent="0.25">
      <c r="A21" t="s">
        <v>20</v>
      </c>
      <c r="B21">
        <v>6</v>
      </c>
      <c r="C21">
        <v>6</v>
      </c>
      <c r="D21">
        <v>12</v>
      </c>
    </row>
    <row r="22" spans="1:4" x14ac:dyDescent="0.25">
      <c r="A22" t="s">
        <v>21</v>
      </c>
      <c r="B22">
        <v>3</v>
      </c>
      <c r="C22">
        <v>4</v>
      </c>
      <c r="D22">
        <v>7</v>
      </c>
    </row>
    <row r="24" spans="1:1" s="2" customFormat="1" x14ac:dyDescent="0.25">
      <c r="A24" s="2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4" width="30" customWidth="1"/>
    <col min="5" max="5" width="44" customWidth="1"/>
    <col min="6" max="6" width="34" customWidth="1"/>
    <col min="7" max="7" width="48" customWidth="1"/>
    <col min="8" max="8" width="34" customWidth="1"/>
    <col min="9" max="9" width="52" customWidth="1"/>
    <col min="10" max="10" width="14" customWidth="1"/>
    <col min="11" max="11" width="16" customWidth="1"/>
    <col min="12" max="12" width="12" customWidth="1"/>
    <col min="13" max="13" width="44" customWidth="1"/>
    <col min="14" max="14" width="16" customWidth="1"/>
    <col min="15" max="15" width="14" customWidth="1"/>
    <col min="16" max="16" width="10" customWidth="1"/>
    <col min="17" max="17" width="28" customWidth="1"/>
    <col min="18" max="18" width="24" customWidth="1"/>
    <col min="19" max="19" width="40" customWidth="1"/>
  </cols>
  <sheetData>
    <row r="1" ht="36" customHeight="1" spans="1:19" s="3" customFormat="1" x14ac:dyDescent="0.2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14</v>
      </c>
      <c r="K1" s="3" t="s">
        <v>35</v>
      </c>
      <c r="L1" s="3" t="s">
        <v>36</v>
      </c>
      <c r="M1" s="3" t="s">
        <v>37</v>
      </c>
      <c r="N1" s="3" t="s">
        <v>9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</row>
    <row r="2" spans="1:19" s="4" customFormat="1" x14ac:dyDescent="0.25">
      <c r="A2" s="5" t="s">
        <v>43</v>
      </c>
      <c r="B2" s="5" t="s">
        <v>44</v>
      </c>
      <c r="C2" s="5" t="s">
        <v>2</v>
      </c>
      <c r="D2" s="5" t="s">
        <v>45</v>
      </c>
      <c r="E2" s="5" t="s">
        <v>46</v>
      </c>
      <c r="F2" s="5" t="s">
        <v>47</v>
      </c>
      <c r="G2" s="5" t="s">
        <v>48</v>
      </c>
      <c r="H2" s="5" t="s">
        <v>49</v>
      </c>
      <c r="I2" s="5" t="s">
        <v>50</v>
      </c>
      <c r="J2" s="5" t="s">
        <v>18</v>
      </c>
      <c r="K2" s="6" t="s">
        <v>7</v>
      </c>
      <c r="L2" s="5" t="s">
        <v>51</v>
      </c>
      <c r="M2" s="5" t="s">
        <v>52</v>
      </c>
      <c r="N2" s="5" t="s">
        <v>10</v>
      </c>
      <c r="O2" s="5" t="s">
        <v>53</v>
      </c>
      <c r="P2" s="5" t="s">
        <v>54</v>
      </c>
      <c r="Q2" s="5" t="s">
        <v>55</v>
      </c>
      <c r="R2" s="5" t="s">
        <v>56</v>
      </c>
      <c r="S2" s="5" t="s">
        <v>52</v>
      </c>
    </row>
    <row r="3" spans="1:19" s="4" customFormat="1" x14ac:dyDescent="0.25">
      <c r="A3" s="5" t="s">
        <v>57</v>
      </c>
      <c r="B3" s="5" t="s">
        <v>44</v>
      </c>
      <c r="C3" s="5" t="s">
        <v>2</v>
      </c>
      <c r="D3" s="5" t="s">
        <v>58</v>
      </c>
      <c r="E3" s="5" t="s">
        <v>59</v>
      </c>
      <c r="F3" s="5" t="s">
        <v>60</v>
      </c>
      <c r="G3" s="5" t="s">
        <v>61</v>
      </c>
      <c r="H3" s="5" t="s">
        <v>62</v>
      </c>
      <c r="I3" s="5" t="s">
        <v>63</v>
      </c>
      <c r="J3" s="5" t="s">
        <v>20</v>
      </c>
      <c r="K3" s="6" t="s">
        <v>7</v>
      </c>
      <c r="L3" s="5" t="s">
        <v>51</v>
      </c>
      <c r="M3" s="5" t="s">
        <v>52</v>
      </c>
      <c r="N3" s="5" t="s">
        <v>10</v>
      </c>
      <c r="O3" s="5" t="s">
        <v>64</v>
      </c>
      <c r="P3" s="5" t="s">
        <v>54</v>
      </c>
      <c r="Q3" s="5" t="s">
        <v>55</v>
      </c>
      <c r="R3" s="5" t="s">
        <v>56</v>
      </c>
      <c r="S3" s="5" t="s">
        <v>52</v>
      </c>
    </row>
    <row r="4" spans="1:19" s="4" customFormat="1" x14ac:dyDescent="0.25">
      <c r="A4" s="5" t="s">
        <v>65</v>
      </c>
      <c r="B4" s="5" t="s">
        <v>44</v>
      </c>
      <c r="C4" s="5" t="s">
        <v>2</v>
      </c>
      <c r="D4" s="5" t="s">
        <v>66</v>
      </c>
      <c r="E4" s="5" t="s">
        <v>67</v>
      </c>
      <c r="F4" s="5" t="s">
        <v>60</v>
      </c>
      <c r="G4" s="5" t="s">
        <v>68</v>
      </c>
      <c r="H4" s="5" t="s">
        <v>69</v>
      </c>
      <c r="I4" s="5" t="s">
        <v>70</v>
      </c>
      <c r="J4" s="5" t="s">
        <v>20</v>
      </c>
      <c r="K4" s="6" t="s">
        <v>7</v>
      </c>
      <c r="L4" s="5" t="s">
        <v>51</v>
      </c>
      <c r="M4" s="5" t="s">
        <v>52</v>
      </c>
      <c r="N4" s="5" t="s">
        <v>10</v>
      </c>
      <c r="O4" s="5" t="s">
        <v>71</v>
      </c>
      <c r="P4" s="5" t="s">
        <v>54</v>
      </c>
      <c r="Q4" s="5" t="s">
        <v>55</v>
      </c>
      <c r="R4" s="5" t="s">
        <v>56</v>
      </c>
      <c r="S4" s="5" t="s">
        <v>52</v>
      </c>
    </row>
    <row r="5" spans="1:19" s="4" customFormat="1" x14ac:dyDescent="0.25">
      <c r="A5" s="5" t="s">
        <v>72</v>
      </c>
      <c r="B5" s="5" t="s">
        <v>44</v>
      </c>
      <c r="C5" s="5" t="s">
        <v>2</v>
      </c>
      <c r="D5" s="5" t="s">
        <v>73</v>
      </c>
      <c r="E5" s="5" t="s">
        <v>74</v>
      </c>
      <c r="F5" s="5" t="s">
        <v>60</v>
      </c>
      <c r="G5" s="5" t="s">
        <v>75</v>
      </c>
      <c r="H5" s="5" t="s">
        <v>49</v>
      </c>
      <c r="I5" s="5" t="s">
        <v>76</v>
      </c>
      <c r="J5" s="5" t="s">
        <v>18</v>
      </c>
      <c r="K5" s="6" t="s">
        <v>6</v>
      </c>
      <c r="L5" s="5" t="s">
        <v>77</v>
      </c>
      <c r="M5" s="5" t="s">
        <v>52</v>
      </c>
      <c r="N5" s="5" t="s">
        <v>10</v>
      </c>
      <c r="O5" s="5" t="s">
        <v>78</v>
      </c>
      <c r="P5" s="5" t="s">
        <v>79</v>
      </c>
      <c r="Q5" s="5" t="s">
        <v>80</v>
      </c>
      <c r="R5" s="5" t="s">
        <v>56</v>
      </c>
      <c r="S5" s="5" t="s">
        <v>52</v>
      </c>
    </row>
    <row r="6" spans="1:19" s="4" customFormat="1" x14ac:dyDescent="0.25">
      <c r="A6" s="5" t="s">
        <v>81</v>
      </c>
      <c r="B6" s="5" t="s">
        <v>44</v>
      </c>
      <c r="C6" s="5" t="s">
        <v>2</v>
      </c>
      <c r="D6" s="5" t="s">
        <v>82</v>
      </c>
      <c r="E6" s="5" t="s">
        <v>83</v>
      </c>
      <c r="F6" s="5" t="s">
        <v>60</v>
      </c>
      <c r="G6" s="5" t="s">
        <v>84</v>
      </c>
      <c r="H6" s="5" t="s">
        <v>85</v>
      </c>
      <c r="I6" s="5" t="s">
        <v>86</v>
      </c>
      <c r="J6" s="5" t="s">
        <v>21</v>
      </c>
      <c r="K6" s="6" t="s">
        <v>6</v>
      </c>
      <c r="L6" s="5" t="s">
        <v>51</v>
      </c>
      <c r="M6" s="5" t="s">
        <v>52</v>
      </c>
      <c r="N6" s="5" t="s">
        <v>10</v>
      </c>
      <c r="O6" s="5" t="s">
        <v>87</v>
      </c>
      <c r="P6" s="5" t="s">
        <v>54</v>
      </c>
      <c r="Q6" s="5" t="s">
        <v>88</v>
      </c>
      <c r="R6" s="5" t="s">
        <v>56</v>
      </c>
      <c r="S6" s="5" t="s">
        <v>52</v>
      </c>
    </row>
    <row r="7" spans="1:19" s="4" customFormat="1" x14ac:dyDescent="0.25">
      <c r="A7" s="5" t="s">
        <v>89</v>
      </c>
      <c r="B7" s="5" t="s">
        <v>44</v>
      </c>
      <c r="C7" s="5" t="s">
        <v>2</v>
      </c>
      <c r="D7" s="5" t="s">
        <v>90</v>
      </c>
      <c r="E7" s="5" t="s">
        <v>91</v>
      </c>
      <c r="F7" s="5" t="s">
        <v>60</v>
      </c>
      <c r="G7" s="5" t="s">
        <v>92</v>
      </c>
      <c r="H7" s="5" t="s">
        <v>93</v>
      </c>
      <c r="I7" s="5" t="s">
        <v>94</v>
      </c>
      <c r="J7" s="5" t="s">
        <v>21</v>
      </c>
      <c r="K7" s="6" t="s">
        <v>6</v>
      </c>
      <c r="L7" s="5" t="s">
        <v>51</v>
      </c>
      <c r="M7" s="5" t="s">
        <v>52</v>
      </c>
      <c r="N7" s="5" t="s">
        <v>10</v>
      </c>
      <c r="O7" s="5" t="s">
        <v>87</v>
      </c>
      <c r="P7" s="5" t="s">
        <v>54</v>
      </c>
      <c r="Q7" s="5" t="s">
        <v>95</v>
      </c>
      <c r="R7" s="5" t="s">
        <v>56</v>
      </c>
      <c r="S7" s="5" t="s">
        <v>52</v>
      </c>
    </row>
    <row r="8" spans="1:19" s="4" customFormat="1" x14ac:dyDescent="0.25">
      <c r="A8" s="5" t="s">
        <v>96</v>
      </c>
      <c r="B8" s="5" t="s">
        <v>44</v>
      </c>
      <c r="C8" s="5" t="s">
        <v>2</v>
      </c>
      <c r="D8" s="5" t="s">
        <v>97</v>
      </c>
      <c r="E8" s="5" t="s">
        <v>98</v>
      </c>
      <c r="F8" s="5" t="s">
        <v>60</v>
      </c>
      <c r="G8" s="5" t="s">
        <v>99</v>
      </c>
      <c r="H8" s="5" t="s">
        <v>100</v>
      </c>
      <c r="I8" s="5" t="s">
        <v>86</v>
      </c>
      <c r="J8" s="5" t="s">
        <v>21</v>
      </c>
      <c r="K8" s="6" t="s">
        <v>6</v>
      </c>
      <c r="L8" s="5" t="s">
        <v>51</v>
      </c>
      <c r="M8" s="5" t="s">
        <v>52</v>
      </c>
      <c r="N8" s="5" t="s">
        <v>10</v>
      </c>
      <c r="O8" s="5" t="s">
        <v>87</v>
      </c>
      <c r="P8" s="5" t="s">
        <v>54</v>
      </c>
      <c r="Q8" s="5" t="s">
        <v>95</v>
      </c>
      <c r="R8" s="5" t="s">
        <v>56</v>
      </c>
      <c r="S8" s="5" t="s">
        <v>52</v>
      </c>
    </row>
    <row r="9" spans="1:19" s="4" customFormat="1" x14ac:dyDescent="0.25">
      <c r="A9" s="5" t="s">
        <v>101</v>
      </c>
      <c r="B9" s="5" t="s">
        <v>44</v>
      </c>
      <c r="C9" s="5" t="s">
        <v>2</v>
      </c>
      <c r="D9" s="5" t="s">
        <v>102</v>
      </c>
      <c r="E9" s="5" t="s">
        <v>103</v>
      </c>
      <c r="F9" s="5" t="s">
        <v>60</v>
      </c>
      <c r="G9" s="5" t="s">
        <v>104</v>
      </c>
      <c r="H9" s="5" t="s">
        <v>105</v>
      </c>
      <c r="I9" s="5" t="s">
        <v>106</v>
      </c>
      <c r="J9" s="5" t="s">
        <v>17</v>
      </c>
      <c r="K9" s="6" t="s">
        <v>6</v>
      </c>
      <c r="L9" s="5" t="s">
        <v>51</v>
      </c>
      <c r="M9" s="5" t="s">
        <v>52</v>
      </c>
      <c r="N9" s="5" t="s">
        <v>10</v>
      </c>
      <c r="O9" s="5" t="s">
        <v>107</v>
      </c>
      <c r="P9" s="5" t="s">
        <v>54</v>
      </c>
      <c r="Q9" s="5" t="s">
        <v>88</v>
      </c>
      <c r="R9" s="5" t="s">
        <v>56</v>
      </c>
      <c r="S9" s="5" t="s">
        <v>52</v>
      </c>
    </row>
    <row r="10" spans="1:19" s="4" customFormat="1" x14ac:dyDescent="0.25">
      <c r="A10" s="5" t="s">
        <v>108</v>
      </c>
      <c r="B10" s="5" t="s">
        <v>44</v>
      </c>
      <c r="C10" s="5" t="s">
        <v>2</v>
      </c>
      <c r="D10" s="5" t="s">
        <v>109</v>
      </c>
      <c r="E10" s="5" t="s">
        <v>110</v>
      </c>
      <c r="F10" s="5" t="s">
        <v>60</v>
      </c>
      <c r="G10" s="5" t="s">
        <v>111</v>
      </c>
      <c r="H10" s="5" t="s">
        <v>112</v>
      </c>
      <c r="I10" s="5" t="s">
        <v>106</v>
      </c>
      <c r="J10" s="5" t="s">
        <v>17</v>
      </c>
      <c r="K10" s="6" t="s">
        <v>6</v>
      </c>
      <c r="L10" s="5" t="s">
        <v>51</v>
      </c>
      <c r="M10" s="5" t="s">
        <v>52</v>
      </c>
      <c r="N10" s="5" t="s">
        <v>10</v>
      </c>
      <c r="O10" s="5" t="s">
        <v>107</v>
      </c>
      <c r="P10" s="5" t="s">
        <v>54</v>
      </c>
      <c r="Q10" s="5" t="s">
        <v>95</v>
      </c>
      <c r="R10" s="5" t="s">
        <v>56</v>
      </c>
      <c r="S10" s="5" t="s">
        <v>52</v>
      </c>
    </row>
    <row r="11" spans="1:19" s="4" customFormat="1" x14ac:dyDescent="0.25">
      <c r="A11" s="5" t="s">
        <v>113</v>
      </c>
      <c r="B11" s="5" t="s">
        <v>44</v>
      </c>
      <c r="C11" s="5" t="s">
        <v>2</v>
      </c>
      <c r="D11" s="5" t="s">
        <v>114</v>
      </c>
      <c r="E11" s="5" t="s">
        <v>115</v>
      </c>
      <c r="F11" s="5" t="s">
        <v>60</v>
      </c>
      <c r="G11" s="5" t="s">
        <v>116</v>
      </c>
      <c r="H11" s="5" t="s">
        <v>117</v>
      </c>
      <c r="I11" s="5" t="s">
        <v>106</v>
      </c>
      <c r="J11" s="5" t="s">
        <v>17</v>
      </c>
      <c r="K11" s="6" t="s">
        <v>6</v>
      </c>
      <c r="L11" s="5" t="s">
        <v>77</v>
      </c>
      <c r="M11" s="5" t="s">
        <v>52</v>
      </c>
      <c r="N11" s="5" t="s">
        <v>10</v>
      </c>
      <c r="O11" s="5" t="s">
        <v>107</v>
      </c>
      <c r="P11" s="5" t="s">
        <v>79</v>
      </c>
      <c r="Q11" s="5" t="s">
        <v>95</v>
      </c>
      <c r="R11" s="5" t="s">
        <v>56</v>
      </c>
      <c r="S11" s="5" t="s">
        <v>52</v>
      </c>
    </row>
    <row r="12" spans="1:19" s="4" customFormat="1" x14ac:dyDescent="0.25">
      <c r="A12" s="5" t="s">
        <v>118</v>
      </c>
      <c r="B12" s="5" t="s">
        <v>44</v>
      </c>
      <c r="C12" s="5" t="s">
        <v>2</v>
      </c>
      <c r="D12" s="5" t="s">
        <v>119</v>
      </c>
      <c r="E12" s="5" t="s">
        <v>120</v>
      </c>
      <c r="F12" s="5" t="s">
        <v>60</v>
      </c>
      <c r="G12" s="5" t="s">
        <v>121</v>
      </c>
      <c r="H12" s="5" t="s">
        <v>122</v>
      </c>
      <c r="I12" s="5" t="s">
        <v>123</v>
      </c>
      <c r="J12" s="5" t="s">
        <v>17</v>
      </c>
      <c r="K12" s="6" t="s">
        <v>6</v>
      </c>
      <c r="L12" s="5" t="s">
        <v>77</v>
      </c>
      <c r="M12" s="5" t="s">
        <v>52</v>
      </c>
      <c r="N12" s="5" t="s">
        <v>10</v>
      </c>
      <c r="O12" s="5" t="s">
        <v>107</v>
      </c>
      <c r="P12" s="5" t="s">
        <v>79</v>
      </c>
      <c r="Q12" s="5" t="s">
        <v>95</v>
      </c>
      <c r="R12" s="5" t="s">
        <v>56</v>
      </c>
      <c r="S12" s="5" t="s">
        <v>52</v>
      </c>
    </row>
    <row r="13" spans="1:19" s="4" customFormat="1" x14ac:dyDescent="0.25">
      <c r="A13" s="5" t="s">
        <v>124</v>
      </c>
      <c r="B13" s="5" t="s">
        <v>44</v>
      </c>
      <c r="C13" s="5" t="s">
        <v>2</v>
      </c>
      <c r="D13" s="5" t="s">
        <v>125</v>
      </c>
      <c r="E13" s="5" t="s">
        <v>126</v>
      </c>
      <c r="F13" s="5" t="s">
        <v>60</v>
      </c>
      <c r="G13" s="5" t="s">
        <v>127</v>
      </c>
      <c r="H13" s="5" t="s">
        <v>128</v>
      </c>
      <c r="I13" s="5" t="s">
        <v>123</v>
      </c>
      <c r="J13" s="5" t="s">
        <v>17</v>
      </c>
      <c r="K13" s="6" t="s">
        <v>6</v>
      </c>
      <c r="L13" s="5" t="s">
        <v>77</v>
      </c>
      <c r="M13" s="5" t="s">
        <v>52</v>
      </c>
      <c r="N13" s="5" t="s">
        <v>10</v>
      </c>
      <c r="O13" s="5" t="s">
        <v>107</v>
      </c>
      <c r="P13" s="5" t="s">
        <v>79</v>
      </c>
      <c r="Q13" s="5" t="s">
        <v>95</v>
      </c>
      <c r="R13" s="5" t="s">
        <v>56</v>
      </c>
      <c r="S13" s="5" t="s">
        <v>52</v>
      </c>
    </row>
    <row r="14" spans="1:19" s="4" customFormat="1" x14ac:dyDescent="0.25">
      <c r="A14" s="5" t="s">
        <v>129</v>
      </c>
      <c r="B14" s="5" t="s">
        <v>44</v>
      </c>
      <c r="C14" s="5" t="s">
        <v>2</v>
      </c>
      <c r="D14" s="5" t="s">
        <v>130</v>
      </c>
      <c r="E14" s="5" t="s">
        <v>131</v>
      </c>
      <c r="F14" s="5" t="s">
        <v>60</v>
      </c>
      <c r="G14" s="5" t="s">
        <v>132</v>
      </c>
      <c r="H14" s="5" t="s">
        <v>133</v>
      </c>
      <c r="I14" s="5" t="s">
        <v>123</v>
      </c>
      <c r="J14" s="5" t="s">
        <v>17</v>
      </c>
      <c r="K14" s="6" t="s">
        <v>7</v>
      </c>
      <c r="L14" s="5" t="s">
        <v>134</v>
      </c>
      <c r="M14" s="5" t="s">
        <v>52</v>
      </c>
      <c r="N14" s="5" t="s">
        <v>10</v>
      </c>
      <c r="O14" s="5" t="s">
        <v>107</v>
      </c>
      <c r="P14" s="5" t="s">
        <v>135</v>
      </c>
      <c r="Q14" s="5" t="s">
        <v>95</v>
      </c>
      <c r="R14" s="5" t="s">
        <v>56</v>
      </c>
      <c r="S14" s="5" t="s">
        <v>52</v>
      </c>
    </row>
    <row r="15" spans="1:19" s="4" customFormat="1" x14ac:dyDescent="0.25">
      <c r="A15" s="5" t="s">
        <v>136</v>
      </c>
      <c r="B15" s="5" t="s">
        <v>44</v>
      </c>
      <c r="C15" s="5" t="s">
        <v>2</v>
      </c>
      <c r="D15" s="5" t="s">
        <v>137</v>
      </c>
      <c r="E15" s="5" t="s">
        <v>138</v>
      </c>
      <c r="F15" s="5" t="s">
        <v>60</v>
      </c>
      <c r="G15" s="5" t="s">
        <v>139</v>
      </c>
      <c r="H15" s="5" t="s">
        <v>140</v>
      </c>
      <c r="I15" s="5" t="s">
        <v>141</v>
      </c>
      <c r="J15" s="5" t="s">
        <v>17</v>
      </c>
      <c r="K15" s="6" t="s">
        <v>6</v>
      </c>
      <c r="L15" s="5" t="s">
        <v>51</v>
      </c>
      <c r="M15" s="5" t="s">
        <v>52</v>
      </c>
      <c r="N15" s="5" t="s">
        <v>10</v>
      </c>
      <c r="O15" s="5" t="s">
        <v>107</v>
      </c>
      <c r="P15" s="5" t="s">
        <v>54</v>
      </c>
      <c r="Q15" s="5" t="s">
        <v>88</v>
      </c>
      <c r="R15" s="5" t="s">
        <v>56</v>
      </c>
      <c r="S15" s="5" t="s">
        <v>52</v>
      </c>
    </row>
    <row r="16" spans="1:19" s="4" customFormat="1" x14ac:dyDescent="0.25">
      <c r="A16" s="5" t="s">
        <v>142</v>
      </c>
      <c r="B16" s="5" t="s">
        <v>44</v>
      </c>
      <c r="C16" s="5" t="s">
        <v>2</v>
      </c>
      <c r="D16" s="5" t="s">
        <v>143</v>
      </c>
      <c r="E16" s="5" t="s">
        <v>144</v>
      </c>
      <c r="F16" s="5" t="s">
        <v>145</v>
      </c>
      <c r="G16" s="5" t="s">
        <v>146</v>
      </c>
      <c r="H16" s="5" t="s">
        <v>147</v>
      </c>
      <c r="I16" s="5" t="s">
        <v>148</v>
      </c>
      <c r="J16" s="5" t="s">
        <v>20</v>
      </c>
      <c r="K16" s="6" t="s">
        <v>6</v>
      </c>
      <c r="L16" s="5" t="s">
        <v>134</v>
      </c>
      <c r="M16" s="5" t="s">
        <v>52</v>
      </c>
      <c r="N16" s="5" t="s">
        <v>10</v>
      </c>
      <c r="O16" s="5" t="s">
        <v>107</v>
      </c>
      <c r="P16" s="5" t="s">
        <v>135</v>
      </c>
      <c r="Q16" s="5" t="s">
        <v>80</v>
      </c>
      <c r="R16" s="5" t="s">
        <v>56</v>
      </c>
      <c r="S16" s="5" t="s">
        <v>52</v>
      </c>
    </row>
    <row r="17" spans="1:19" s="4" customFormat="1" x14ac:dyDescent="0.25">
      <c r="A17" s="5" t="s">
        <v>149</v>
      </c>
      <c r="B17" s="5" t="s">
        <v>44</v>
      </c>
      <c r="C17" s="5" t="s">
        <v>2</v>
      </c>
      <c r="D17" s="5" t="s">
        <v>150</v>
      </c>
      <c r="E17" s="5" t="s">
        <v>151</v>
      </c>
      <c r="F17" s="5" t="s">
        <v>60</v>
      </c>
      <c r="G17" s="5" t="s">
        <v>152</v>
      </c>
      <c r="H17" s="5" t="s">
        <v>147</v>
      </c>
      <c r="I17" s="5" t="s">
        <v>153</v>
      </c>
      <c r="J17" s="5" t="s">
        <v>20</v>
      </c>
      <c r="K17" s="7" t="s">
        <v>5</v>
      </c>
      <c r="L17" s="5" t="s">
        <v>154</v>
      </c>
      <c r="M17" s="5" t="s">
        <v>52</v>
      </c>
      <c r="N17" s="5" t="s">
        <v>10</v>
      </c>
      <c r="O17" s="5" t="s">
        <v>155</v>
      </c>
      <c r="P17" s="5" t="s">
        <v>135</v>
      </c>
      <c r="Q17" s="5" t="s">
        <v>52</v>
      </c>
      <c r="R17" s="5" t="s">
        <v>62</v>
      </c>
      <c r="S17" s="5" t="s">
        <v>52</v>
      </c>
    </row>
    <row r="18" spans="1:19" s="4" customFormat="1" x14ac:dyDescent="0.25">
      <c r="A18" s="5" t="s">
        <v>156</v>
      </c>
      <c r="B18" s="5" t="s">
        <v>44</v>
      </c>
      <c r="C18" s="5" t="s">
        <v>2</v>
      </c>
      <c r="D18" s="5" t="s">
        <v>157</v>
      </c>
      <c r="E18" s="5" t="s">
        <v>158</v>
      </c>
      <c r="F18" s="5" t="s">
        <v>159</v>
      </c>
      <c r="G18" s="5" t="s">
        <v>160</v>
      </c>
      <c r="H18" s="5" t="s">
        <v>49</v>
      </c>
      <c r="I18" s="5" t="s">
        <v>161</v>
      </c>
      <c r="J18" s="5" t="s">
        <v>18</v>
      </c>
      <c r="K18" s="6" t="s">
        <v>6</v>
      </c>
      <c r="L18" s="5" t="s">
        <v>77</v>
      </c>
      <c r="M18" s="5" t="s">
        <v>52</v>
      </c>
      <c r="N18" s="5" t="s">
        <v>10</v>
      </c>
      <c r="O18" s="5" t="s">
        <v>162</v>
      </c>
      <c r="P18" s="5" t="s">
        <v>79</v>
      </c>
      <c r="Q18" s="5" t="s">
        <v>80</v>
      </c>
      <c r="R18" s="5" t="s">
        <v>56</v>
      </c>
      <c r="S18" s="5" t="s">
        <v>52</v>
      </c>
    </row>
    <row r="19" spans="1:19" s="4" customFormat="1" x14ac:dyDescent="0.25">
      <c r="A19" s="5" t="s">
        <v>163</v>
      </c>
      <c r="B19" s="5" t="s">
        <v>44</v>
      </c>
      <c r="C19" s="5" t="s">
        <v>2</v>
      </c>
      <c r="D19" s="5" t="s">
        <v>164</v>
      </c>
      <c r="E19" s="5" t="s">
        <v>165</v>
      </c>
      <c r="F19" s="5" t="s">
        <v>159</v>
      </c>
      <c r="G19" s="5" t="s">
        <v>166</v>
      </c>
      <c r="H19" s="5" t="s">
        <v>49</v>
      </c>
      <c r="I19" s="5" t="s">
        <v>167</v>
      </c>
      <c r="J19" s="5" t="s">
        <v>16</v>
      </c>
      <c r="K19" s="6" t="s">
        <v>7</v>
      </c>
      <c r="L19" s="5" t="s">
        <v>51</v>
      </c>
      <c r="M19" s="5" t="s">
        <v>52</v>
      </c>
      <c r="N19" s="5" t="s">
        <v>10</v>
      </c>
      <c r="O19" s="5" t="s">
        <v>168</v>
      </c>
      <c r="P19" s="5" t="s">
        <v>54</v>
      </c>
      <c r="Q19" s="5" t="s">
        <v>55</v>
      </c>
      <c r="R19" s="5" t="s">
        <v>56</v>
      </c>
      <c r="S19" s="5" t="s">
        <v>52</v>
      </c>
    </row>
    <row r="20" spans="1:19" s="4" customFormat="1" x14ac:dyDescent="0.25">
      <c r="A20" s="5" t="s">
        <v>169</v>
      </c>
      <c r="B20" s="5" t="s">
        <v>44</v>
      </c>
      <c r="C20" s="5" t="s">
        <v>2</v>
      </c>
      <c r="D20" s="5" t="s">
        <v>170</v>
      </c>
      <c r="E20" s="5" t="s">
        <v>171</v>
      </c>
      <c r="F20" s="5" t="s">
        <v>172</v>
      </c>
      <c r="G20" s="5" t="s">
        <v>173</v>
      </c>
      <c r="H20" s="5" t="s">
        <v>49</v>
      </c>
      <c r="I20" s="5" t="s">
        <v>174</v>
      </c>
      <c r="J20" s="5" t="s">
        <v>19</v>
      </c>
      <c r="K20" s="6" t="s">
        <v>6</v>
      </c>
      <c r="L20" s="5" t="s">
        <v>51</v>
      </c>
      <c r="M20" s="5" t="s">
        <v>52</v>
      </c>
      <c r="N20" s="5" t="s">
        <v>10</v>
      </c>
      <c r="O20" s="5" t="s">
        <v>175</v>
      </c>
      <c r="P20" s="5" t="s">
        <v>54</v>
      </c>
      <c r="Q20" s="5" t="s">
        <v>176</v>
      </c>
      <c r="R20" s="5" t="s">
        <v>56</v>
      </c>
      <c r="S20" s="5" t="s">
        <v>52</v>
      </c>
    </row>
    <row r="21" spans="1:19" s="4" customFormat="1" x14ac:dyDescent="0.25">
      <c r="A21" s="5" t="s">
        <v>177</v>
      </c>
      <c r="B21" s="5" t="s">
        <v>44</v>
      </c>
      <c r="C21" s="5" t="s">
        <v>2</v>
      </c>
      <c r="D21" s="5" t="s">
        <v>178</v>
      </c>
      <c r="E21" s="5" t="s">
        <v>179</v>
      </c>
      <c r="F21" s="5" t="s">
        <v>180</v>
      </c>
      <c r="G21" s="5" t="s">
        <v>181</v>
      </c>
      <c r="H21" s="5" t="s">
        <v>62</v>
      </c>
      <c r="I21" s="5" t="s">
        <v>182</v>
      </c>
      <c r="J21" s="5" t="s">
        <v>19</v>
      </c>
      <c r="K21" s="6" t="s">
        <v>6</v>
      </c>
      <c r="L21" s="5" t="s">
        <v>51</v>
      </c>
      <c r="M21" s="5" t="s">
        <v>52</v>
      </c>
      <c r="N21" s="5" t="s">
        <v>10</v>
      </c>
      <c r="O21" s="5" t="s">
        <v>183</v>
      </c>
      <c r="P21" s="5" t="s">
        <v>54</v>
      </c>
      <c r="Q21" s="5" t="s">
        <v>184</v>
      </c>
      <c r="R21" s="5" t="s">
        <v>56</v>
      </c>
      <c r="S21" s="5" t="s">
        <v>52</v>
      </c>
    </row>
    <row r="22" spans="1:19" s="4" customFormat="1" x14ac:dyDescent="0.25">
      <c r="A22" s="5" t="s">
        <v>185</v>
      </c>
      <c r="B22" s="5" t="s">
        <v>44</v>
      </c>
      <c r="C22" s="5" t="s">
        <v>2</v>
      </c>
      <c r="D22" s="5" t="s">
        <v>186</v>
      </c>
      <c r="E22" s="5" t="s">
        <v>187</v>
      </c>
      <c r="F22" s="5" t="s">
        <v>180</v>
      </c>
      <c r="G22" s="5" t="s">
        <v>188</v>
      </c>
      <c r="H22" s="5" t="s">
        <v>62</v>
      </c>
      <c r="I22" s="5" t="s">
        <v>189</v>
      </c>
      <c r="J22" s="5" t="s">
        <v>19</v>
      </c>
      <c r="K22" s="6" t="s">
        <v>6</v>
      </c>
      <c r="L22" s="5" t="s">
        <v>77</v>
      </c>
      <c r="M22" s="5" t="s">
        <v>52</v>
      </c>
      <c r="N22" s="5" t="s">
        <v>10</v>
      </c>
      <c r="O22" s="5" t="s">
        <v>183</v>
      </c>
      <c r="P22" s="5" t="s">
        <v>79</v>
      </c>
      <c r="Q22" s="5" t="s">
        <v>176</v>
      </c>
      <c r="R22" s="5" t="s">
        <v>56</v>
      </c>
      <c r="S22" s="5" t="s">
        <v>52</v>
      </c>
    </row>
    <row r="23" spans="1:19" s="4" customFormat="1" x14ac:dyDescent="0.25">
      <c r="A23" s="5" t="s">
        <v>190</v>
      </c>
      <c r="B23" s="5" t="s">
        <v>44</v>
      </c>
      <c r="C23" s="5" t="s">
        <v>2</v>
      </c>
      <c r="D23" s="5" t="s">
        <v>191</v>
      </c>
      <c r="E23" s="5" t="s">
        <v>192</v>
      </c>
      <c r="F23" s="5" t="s">
        <v>193</v>
      </c>
      <c r="G23" s="5" t="s">
        <v>194</v>
      </c>
      <c r="H23" s="5" t="s">
        <v>49</v>
      </c>
      <c r="I23" s="5" t="s">
        <v>195</v>
      </c>
      <c r="J23" s="5" t="s">
        <v>18</v>
      </c>
      <c r="K23" s="6" t="s">
        <v>6</v>
      </c>
      <c r="L23" s="5" t="s">
        <v>77</v>
      </c>
      <c r="M23" s="5" t="s">
        <v>52</v>
      </c>
      <c r="N23" s="5" t="s">
        <v>10</v>
      </c>
      <c r="O23" s="5" t="s">
        <v>196</v>
      </c>
      <c r="P23" s="5" t="s">
        <v>79</v>
      </c>
      <c r="Q23" s="5" t="s">
        <v>80</v>
      </c>
      <c r="R23" s="5" t="s">
        <v>56</v>
      </c>
      <c r="S23" s="5" t="s">
        <v>52</v>
      </c>
    </row>
    <row r="24" spans="1:19" s="4" customFormat="1" x14ac:dyDescent="0.25">
      <c r="A24" s="5" t="s">
        <v>197</v>
      </c>
      <c r="B24" s="5" t="s">
        <v>44</v>
      </c>
      <c r="C24" s="5" t="s">
        <v>2</v>
      </c>
      <c r="D24" s="5" t="s">
        <v>198</v>
      </c>
      <c r="E24" s="5" t="s">
        <v>199</v>
      </c>
      <c r="F24" s="5" t="s">
        <v>193</v>
      </c>
      <c r="G24" s="5" t="s">
        <v>200</v>
      </c>
      <c r="H24" s="5" t="s">
        <v>49</v>
      </c>
      <c r="I24" s="5" t="s">
        <v>201</v>
      </c>
      <c r="J24" s="5" t="s">
        <v>19</v>
      </c>
      <c r="K24" s="6" t="s">
        <v>6</v>
      </c>
      <c r="L24" s="5" t="s">
        <v>77</v>
      </c>
      <c r="M24" s="5" t="s">
        <v>52</v>
      </c>
      <c r="N24" s="5" t="s">
        <v>10</v>
      </c>
      <c r="O24" s="5" t="s">
        <v>168</v>
      </c>
      <c r="P24" s="5" t="s">
        <v>79</v>
      </c>
      <c r="Q24" s="5" t="s">
        <v>176</v>
      </c>
      <c r="R24" s="5" t="s">
        <v>56</v>
      </c>
      <c r="S24" s="5" t="s">
        <v>52</v>
      </c>
    </row>
    <row r="25" spans="1:19" s="4" customFormat="1" x14ac:dyDescent="0.25">
      <c r="A25" s="5" t="s">
        <v>202</v>
      </c>
      <c r="B25" s="5" t="s">
        <v>44</v>
      </c>
      <c r="C25" s="5" t="s">
        <v>2</v>
      </c>
      <c r="D25" s="5" t="s">
        <v>203</v>
      </c>
      <c r="E25" s="5" t="s">
        <v>204</v>
      </c>
      <c r="F25" s="5" t="s">
        <v>60</v>
      </c>
      <c r="G25" s="5" t="s">
        <v>205</v>
      </c>
      <c r="H25" s="5" t="s">
        <v>206</v>
      </c>
      <c r="I25" s="5" t="s">
        <v>207</v>
      </c>
      <c r="J25" s="5" t="s">
        <v>19</v>
      </c>
      <c r="K25" s="6" t="s">
        <v>6</v>
      </c>
      <c r="L25" s="5" t="s">
        <v>77</v>
      </c>
      <c r="M25" s="5" t="s">
        <v>52</v>
      </c>
      <c r="N25" s="5" t="s">
        <v>10</v>
      </c>
      <c r="O25" s="5" t="s">
        <v>107</v>
      </c>
      <c r="P25" s="5" t="s">
        <v>79</v>
      </c>
      <c r="Q25" s="5" t="s">
        <v>208</v>
      </c>
      <c r="R25" s="5" t="s">
        <v>56</v>
      </c>
      <c r="S25" s="5" t="s">
        <v>52</v>
      </c>
    </row>
    <row r="26" spans="1:19" s="4" customFormat="1" x14ac:dyDescent="0.25">
      <c r="A26" s="5" t="s">
        <v>209</v>
      </c>
      <c r="B26" s="5" t="s">
        <v>44</v>
      </c>
      <c r="C26" s="5" t="s">
        <v>2</v>
      </c>
      <c r="D26" s="5" t="s">
        <v>210</v>
      </c>
      <c r="E26" s="5" t="s">
        <v>211</v>
      </c>
      <c r="F26" s="5" t="s">
        <v>60</v>
      </c>
      <c r="G26" s="5" t="s">
        <v>212</v>
      </c>
      <c r="H26" s="5" t="s">
        <v>213</v>
      </c>
      <c r="I26" s="5" t="s">
        <v>214</v>
      </c>
      <c r="J26" s="5" t="s">
        <v>19</v>
      </c>
      <c r="K26" s="6" t="s">
        <v>6</v>
      </c>
      <c r="L26" s="5" t="s">
        <v>77</v>
      </c>
      <c r="M26" s="5" t="s">
        <v>52</v>
      </c>
      <c r="N26" s="5" t="s">
        <v>10</v>
      </c>
      <c r="O26" s="5" t="s">
        <v>107</v>
      </c>
      <c r="P26" s="5" t="s">
        <v>79</v>
      </c>
      <c r="Q26" s="5" t="s">
        <v>208</v>
      </c>
      <c r="R26" s="5" t="s">
        <v>56</v>
      </c>
      <c r="S26" s="5" t="s">
        <v>52</v>
      </c>
    </row>
    <row r="27" spans="1:19" s="4" customFormat="1" x14ac:dyDescent="0.25">
      <c r="A27" s="5" t="s">
        <v>215</v>
      </c>
      <c r="B27" s="5" t="s">
        <v>44</v>
      </c>
      <c r="C27" s="5" t="s">
        <v>2</v>
      </c>
      <c r="D27" s="5" t="s">
        <v>216</v>
      </c>
      <c r="E27" s="5" t="s">
        <v>217</v>
      </c>
      <c r="F27" s="5" t="s">
        <v>60</v>
      </c>
      <c r="G27" s="5" t="s">
        <v>218</v>
      </c>
      <c r="H27" s="5" t="s">
        <v>49</v>
      </c>
      <c r="I27" s="5" t="s">
        <v>219</v>
      </c>
      <c r="J27" s="5" t="s">
        <v>19</v>
      </c>
      <c r="K27" s="6" t="s">
        <v>6</v>
      </c>
      <c r="L27" s="5" t="s">
        <v>77</v>
      </c>
      <c r="M27" s="5" t="s">
        <v>52</v>
      </c>
      <c r="N27" s="5" t="s">
        <v>10</v>
      </c>
      <c r="O27" s="5" t="s">
        <v>71</v>
      </c>
      <c r="P27" s="5" t="s">
        <v>79</v>
      </c>
      <c r="Q27" s="5" t="s">
        <v>176</v>
      </c>
      <c r="R27" s="5" t="s">
        <v>56</v>
      </c>
      <c r="S27" s="5" t="s">
        <v>52</v>
      </c>
    </row>
    <row r="28" spans="1:19" s="4" customFormat="1" x14ac:dyDescent="0.25">
      <c r="A28" s="5" t="s">
        <v>220</v>
      </c>
      <c r="B28" s="5" t="s">
        <v>44</v>
      </c>
      <c r="C28" s="5" t="s">
        <v>2</v>
      </c>
      <c r="D28" s="5" t="s">
        <v>221</v>
      </c>
      <c r="E28" s="5" t="s">
        <v>222</v>
      </c>
      <c r="F28" s="5" t="s">
        <v>223</v>
      </c>
      <c r="G28" s="5" t="s">
        <v>224</v>
      </c>
      <c r="H28" s="5" t="s">
        <v>225</v>
      </c>
      <c r="I28" s="5" t="s">
        <v>226</v>
      </c>
      <c r="J28" s="5" t="s">
        <v>19</v>
      </c>
      <c r="K28" s="6" t="s">
        <v>7</v>
      </c>
      <c r="L28" s="5" t="s">
        <v>134</v>
      </c>
      <c r="M28" s="5" t="s">
        <v>227</v>
      </c>
      <c r="N28" s="8" t="s">
        <v>12</v>
      </c>
      <c r="O28" s="5" t="s">
        <v>183</v>
      </c>
      <c r="P28" s="5" t="s">
        <v>79</v>
      </c>
      <c r="Q28" s="5" t="s">
        <v>228</v>
      </c>
      <c r="R28" s="5" t="s">
        <v>56</v>
      </c>
      <c r="S28" s="5" t="s">
        <v>229</v>
      </c>
    </row>
    <row r="29" spans="1:19" s="4" customFormat="1" x14ac:dyDescent="0.25">
      <c r="A29" s="5" t="s">
        <v>230</v>
      </c>
      <c r="B29" s="5" t="s">
        <v>44</v>
      </c>
      <c r="C29" s="5" t="s">
        <v>2</v>
      </c>
      <c r="D29" s="5" t="s">
        <v>231</v>
      </c>
      <c r="E29" s="5" t="s">
        <v>232</v>
      </c>
      <c r="F29" s="5" t="s">
        <v>60</v>
      </c>
      <c r="G29" s="5" t="s">
        <v>233</v>
      </c>
      <c r="H29" s="5" t="s">
        <v>234</v>
      </c>
      <c r="I29" s="5" t="s">
        <v>235</v>
      </c>
      <c r="J29" s="5" t="s">
        <v>19</v>
      </c>
      <c r="K29" s="6" t="s">
        <v>6</v>
      </c>
      <c r="L29" s="5" t="s">
        <v>77</v>
      </c>
      <c r="M29" s="5" t="s">
        <v>52</v>
      </c>
      <c r="N29" s="5" t="s">
        <v>10</v>
      </c>
      <c r="O29" s="5" t="s">
        <v>107</v>
      </c>
      <c r="P29" s="5" t="s">
        <v>79</v>
      </c>
      <c r="Q29" s="5" t="s">
        <v>176</v>
      </c>
      <c r="R29" s="5" t="s">
        <v>56</v>
      </c>
      <c r="S29" s="5" t="s">
        <v>52</v>
      </c>
    </row>
    <row r="30" spans="1:19" s="4" customFormat="1" x14ac:dyDescent="0.25">
      <c r="A30" s="5" t="s">
        <v>236</v>
      </c>
      <c r="B30" s="5" t="s">
        <v>44</v>
      </c>
      <c r="C30" s="5" t="s">
        <v>2</v>
      </c>
      <c r="D30" s="5" t="s">
        <v>237</v>
      </c>
      <c r="E30" s="5" t="s">
        <v>238</v>
      </c>
      <c r="F30" s="5" t="s">
        <v>60</v>
      </c>
      <c r="G30" s="5" t="s">
        <v>239</v>
      </c>
      <c r="H30" s="5" t="s">
        <v>240</v>
      </c>
      <c r="I30" s="5" t="s">
        <v>241</v>
      </c>
      <c r="J30" s="5" t="s">
        <v>17</v>
      </c>
      <c r="K30" s="7" t="s">
        <v>5</v>
      </c>
      <c r="L30" s="5" t="s">
        <v>154</v>
      </c>
      <c r="M30" s="5" t="s">
        <v>52</v>
      </c>
      <c r="N30" s="5" t="s">
        <v>10</v>
      </c>
      <c r="O30" s="5" t="s">
        <v>107</v>
      </c>
      <c r="P30" s="5" t="s">
        <v>135</v>
      </c>
      <c r="Q30" s="5" t="s">
        <v>52</v>
      </c>
      <c r="R30" s="5" t="s">
        <v>62</v>
      </c>
      <c r="S30" s="5" t="s">
        <v>52</v>
      </c>
    </row>
    <row r="31" spans="1:19" s="4" customFormat="1" x14ac:dyDescent="0.25">
      <c r="A31" s="5" t="s">
        <v>242</v>
      </c>
      <c r="B31" s="5" t="s">
        <v>44</v>
      </c>
      <c r="C31" s="5" t="s">
        <v>2</v>
      </c>
      <c r="D31" s="5" t="s">
        <v>243</v>
      </c>
      <c r="E31" s="5" t="s">
        <v>244</v>
      </c>
      <c r="F31" s="5" t="s">
        <v>60</v>
      </c>
      <c r="G31" s="5" t="s">
        <v>245</v>
      </c>
      <c r="H31" s="5" t="s">
        <v>246</v>
      </c>
      <c r="I31" s="5" t="s">
        <v>247</v>
      </c>
      <c r="J31" s="5" t="s">
        <v>17</v>
      </c>
      <c r="K31" s="7" t="s">
        <v>5</v>
      </c>
      <c r="L31" s="5" t="s">
        <v>154</v>
      </c>
      <c r="M31" s="5" t="s">
        <v>52</v>
      </c>
      <c r="N31" s="5" t="s">
        <v>10</v>
      </c>
      <c r="O31" s="5" t="s">
        <v>107</v>
      </c>
      <c r="P31" s="5" t="s">
        <v>135</v>
      </c>
      <c r="Q31" s="5" t="s">
        <v>52</v>
      </c>
      <c r="R31" s="5" t="s">
        <v>62</v>
      </c>
      <c r="S31" s="5" t="s">
        <v>52</v>
      </c>
    </row>
    <row r="32" spans="1:19" s="4" customFormat="1" x14ac:dyDescent="0.25">
      <c r="A32" s="5" t="s">
        <v>248</v>
      </c>
      <c r="B32" s="5" t="s">
        <v>44</v>
      </c>
      <c r="C32" s="5" t="s">
        <v>2</v>
      </c>
      <c r="D32" s="5" t="s">
        <v>249</v>
      </c>
      <c r="E32" s="5" t="s">
        <v>250</v>
      </c>
      <c r="F32" s="5" t="s">
        <v>60</v>
      </c>
      <c r="G32" s="5" t="s">
        <v>251</v>
      </c>
      <c r="H32" s="5" t="s">
        <v>62</v>
      </c>
      <c r="I32" s="5" t="s">
        <v>252</v>
      </c>
      <c r="J32" s="5" t="s">
        <v>19</v>
      </c>
      <c r="K32" s="7" t="s">
        <v>5</v>
      </c>
      <c r="L32" s="5" t="s">
        <v>154</v>
      </c>
      <c r="M32" s="5" t="s">
        <v>253</v>
      </c>
      <c r="N32" s="8" t="s">
        <v>12</v>
      </c>
      <c r="O32" s="5" t="s">
        <v>64</v>
      </c>
      <c r="P32" s="5" t="s">
        <v>135</v>
      </c>
      <c r="Q32" s="5" t="s">
        <v>52</v>
      </c>
      <c r="R32" s="5" t="s">
        <v>62</v>
      </c>
      <c r="S32" s="5" t="s">
        <v>254</v>
      </c>
    </row>
    <row r="33" spans="1:19" s="4" customFormat="1" x14ac:dyDescent="0.25">
      <c r="A33" s="5" t="s">
        <v>255</v>
      </c>
      <c r="B33" s="5" t="s">
        <v>44</v>
      </c>
      <c r="C33" s="5" t="s">
        <v>2</v>
      </c>
      <c r="D33" s="5" t="s">
        <v>256</v>
      </c>
      <c r="E33" s="5" t="s">
        <v>257</v>
      </c>
      <c r="F33" s="5" t="s">
        <v>60</v>
      </c>
      <c r="G33" s="5" t="s">
        <v>258</v>
      </c>
      <c r="H33" s="5" t="s">
        <v>49</v>
      </c>
      <c r="I33" s="5" t="s">
        <v>259</v>
      </c>
      <c r="J33" s="5" t="s">
        <v>20</v>
      </c>
      <c r="K33" s="7" t="s">
        <v>5</v>
      </c>
      <c r="L33" s="5" t="s">
        <v>154</v>
      </c>
      <c r="M33" s="5" t="s">
        <v>52</v>
      </c>
      <c r="N33" s="5" t="s">
        <v>10</v>
      </c>
      <c r="O33" s="5" t="s">
        <v>260</v>
      </c>
      <c r="P33" s="5" t="s">
        <v>135</v>
      </c>
      <c r="Q33" s="5" t="s">
        <v>52</v>
      </c>
      <c r="R33" s="5" t="s">
        <v>62</v>
      </c>
      <c r="S33" s="5" t="s">
        <v>52</v>
      </c>
    </row>
    <row r="34" spans="1:19" s="4" customFormat="1" x14ac:dyDescent="0.25">
      <c r="A34" s="5" t="s">
        <v>261</v>
      </c>
      <c r="B34" s="5" t="s">
        <v>44</v>
      </c>
      <c r="C34" s="5" t="s">
        <v>2</v>
      </c>
      <c r="D34" s="5" t="s">
        <v>262</v>
      </c>
      <c r="E34" s="5" t="s">
        <v>263</v>
      </c>
      <c r="F34" s="5" t="s">
        <v>60</v>
      </c>
      <c r="G34" s="5" t="s">
        <v>264</v>
      </c>
      <c r="H34" s="5" t="s">
        <v>62</v>
      </c>
      <c r="I34" s="5" t="s">
        <v>265</v>
      </c>
      <c r="J34" s="5" t="s">
        <v>20</v>
      </c>
      <c r="K34" s="7" t="s">
        <v>5</v>
      </c>
      <c r="L34" s="5" t="s">
        <v>154</v>
      </c>
      <c r="M34" s="5" t="s">
        <v>52</v>
      </c>
      <c r="N34" s="5" t="s">
        <v>10</v>
      </c>
      <c r="O34" s="5" t="s">
        <v>64</v>
      </c>
      <c r="P34" s="5" t="s">
        <v>135</v>
      </c>
      <c r="Q34" s="5" t="s">
        <v>52</v>
      </c>
      <c r="R34" s="5" t="s">
        <v>62</v>
      </c>
      <c r="S34" s="5" t="s">
        <v>52</v>
      </c>
    </row>
    <row r="35" spans="1:19" s="4" customFormat="1" x14ac:dyDescent="0.25">
      <c r="A35" s="5" t="s">
        <v>266</v>
      </c>
      <c r="B35" s="5" t="s">
        <v>44</v>
      </c>
      <c r="C35" s="5" t="s">
        <v>2</v>
      </c>
      <c r="D35" s="5" t="s">
        <v>267</v>
      </c>
      <c r="E35" s="5" t="s">
        <v>268</v>
      </c>
      <c r="F35" s="5" t="s">
        <v>269</v>
      </c>
      <c r="G35" s="5" t="s">
        <v>270</v>
      </c>
      <c r="H35" s="5" t="s">
        <v>49</v>
      </c>
      <c r="I35" s="5" t="s">
        <v>271</v>
      </c>
      <c r="J35" s="5" t="s">
        <v>15</v>
      </c>
      <c r="K35" s="6" t="s">
        <v>7</v>
      </c>
      <c r="L35" s="5" t="s">
        <v>134</v>
      </c>
      <c r="M35" s="5" t="s">
        <v>52</v>
      </c>
      <c r="N35" s="5" t="s">
        <v>10</v>
      </c>
      <c r="O35" s="5" t="s">
        <v>272</v>
      </c>
      <c r="P35" s="5" t="s">
        <v>79</v>
      </c>
      <c r="Q35" s="5" t="s">
        <v>80</v>
      </c>
      <c r="R35" s="5" t="s">
        <v>56</v>
      </c>
      <c r="S35" s="5" t="s">
        <v>52</v>
      </c>
    </row>
    <row r="36" spans="1:19" s="4" customFormat="1" x14ac:dyDescent="0.25">
      <c r="A36" s="5" t="s">
        <v>273</v>
      </c>
      <c r="B36" s="5" t="s">
        <v>44</v>
      </c>
      <c r="C36" s="5" t="s">
        <v>2</v>
      </c>
      <c r="D36" s="5" t="s">
        <v>274</v>
      </c>
      <c r="E36" s="5" t="s">
        <v>275</v>
      </c>
      <c r="F36" s="5" t="s">
        <v>60</v>
      </c>
      <c r="G36" s="5" t="s">
        <v>276</v>
      </c>
      <c r="H36" s="5" t="s">
        <v>277</v>
      </c>
      <c r="I36" s="5" t="s">
        <v>278</v>
      </c>
      <c r="J36" s="5" t="s">
        <v>18</v>
      </c>
      <c r="K36" s="7" t="s">
        <v>5</v>
      </c>
      <c r="L36" s="5" t="s">
        <v>154</v>
      </c>
      <c r="M36" s="5" t="s">
        <v>52</v>
      </c>
      <c r="N36" s="5" t="s">
        <v>10</v>
      </c>
      <c r="O36" s="5" t="s">
        <v>196</v>
      </c>
      <c r="P36" s="5" t="s">
        <v>135</v>
      </c>
      <c r="Q36" s="5" t="s">
        <v>52</v>
      </c>
      <c r="R36" s="5" t="s">
        <v>62</v>
      </c>
      <c r="S36" s="5" t="s">
        <v>52</v>
      </c>
    </row>
    <row r="37" spans="1:19" s="4" customFormat="1" x14ac:dyDescent="0.25">
      <c r="A37" s="5" t="s">
        <v>279</v>
      </c>
      <c r="B37" s="5" t="s">
        <v>44</v>
      </c>
      <c r="C37" s="5" t="s">
        <v>2</v>
      </c>
      <c r="D37" s="5" t="s">
        <v>280</v>
      </c>
      <c r="E37" s="5" t="s">
        <v>281</v>
      </c>
      <c r="F37" s="5" t="s">
        <v>60</v>
      </c>
      <c r="G37" s="5" t="s">
        <v>282</v>
      </c>
      <c r="H37" s="5" t="s">
        <v>283</v>
      </c>
      <c r="I37" s="5" t="s">
        <v>284</v>
      </c>
      <c r="J37" s="5" t="s">
        <v>18</v>
      </c>
      <c r="K37" s="6" t="s">
        <v>6</v>
      </c>
      <c r="L37" s="5" t="s">
        <v>134</v>
      </c>
      <c r="M37" s="5" t="s">
        <v>52</v>
      </c>
      <c r="N37" s="5" t="s">
        <v>10</v>
      </c>
      <c r="O37" s="5" t="s">
        <v>272</v>
      </c>
      <c r="P37" s="5" t="s">
        <v>135</v>
      </c>
      <c r="Q37" s="5" t="s">
        <v>80</v>
      </c>
      <c r="R37" s="5" t="s">
        <v>56</v>
      </c>
      <c r="S37" s="5" t="s">
        <v>52</v>
      </c>
    </row>
    <row r="38" spans="1:19" s="4" customFormat="1" x14ac:dyDescent="0.25">
      <c r="A38" s="5" t="s">
        <v>285</v>
      </c>
      <c r="B38" s="5" t="s">
        <v>44</v>
      </c>
      <c r="C38" s="5" t="s">
        <v>2</v>
      </c>
      <c r="D38" s="5" t="s">
        <v>286</v>
      </c>
      <c r="E38" s="5" t="s">
        <v>287</v>
      </c>
      <c r="F38" s="5" t="s">
        <v>60</v>
      </c>
      <c r="G38" s="5" t="s">
        <v>288</v>
      </c>
      <c r="H38" s="5" t="s">
        <v>49</v>
      </c>
      <c r="I38" s="5" t="s">
        <v>289</v>
      </c>
      <c r="J38" s="5" t="s">
        <v>17</v>
      </c>
      <c r="K38" s="7" t="s">
        <v>5</v>
      </c>
      <c r="L38" s="5" t="s">
        <v>154</v>
      </c>
      <c r="M38" s="5" t="s">
        <v>52</v>
      </c>
      <c r="N38" s="5" t="s">
        <v>10</v>
      </c>
      <c r="O38" s="5" t="s">
        <v>107</v>
      </c>
      <c r="P38" s="5" t="s">
        <v>135</v>
      </c>
      <c r="Q38" s="5" t="s">
        <v>52</v>
      </c>
      <c r="R38" s="5" t="s">
        <v>62</v>
      </c>
      <c r="S38" s="5" t="s">
        <v>52</v>
      </c>
    </row>
    <row r="39" spans="1:19" s="4" customFormat="1" x14ac:dyDescent="0.25">
      <c r="A39" s="5" t="s">
        <v>290</v>
      </c>
      <c r="B39" s="5" t="s">
        <v>44</v>
      </c>
      <c r="C39" s="5" t="s">
        <v>2</v>
      </c>
      <c r="D39" s="5" t="s">
        <v>291</v>
      </c>
      <c r="E39" s="5" t="s">
        <v>292</v>
      </c>
      <c r="F39" s="5" t="s">
        <v>293</v>
      </c>
      <c r="G39" s="5" t="s">
        <v>294</v>
      </c>
      <c r="H39" s="5" t="s">
        <v>49</v>
      </c>
      <c r="I39" s="5" t="s">
        <v>295</v>
      </c>
      <c r="J39" s="5" t="s">
        <v>15</v>
      </c>
      <c r="K39" s="7" t="s">
        <v>5</v>
      </c>
      <c r="L39" s="5" t="s">
        <v>154</v>
      </c>
      <c r="M39" s="5" t="s">
        <v>52</v>
      </c>
      <c r="N39" s="5" t="s">
        <v>10</v>
      </c>
      <c r="O39" s="5" t="s">
        <v>272</v>
      </c>
      <c r="P39" s="5" t="s">
        <v>135</v>
      </c>
      <c r="Q39" s="5" t="s">
        <v>52</v>
      </c>
      <c r="R39" s="5" t="s">
        <v>62</v>
      </c>
      <c r="S39" s="5" t="s">
        <v>296</v>
      </c>
    </row>
  </sheetData>
  <autoFilter ref="A1:S1"/>
  <dataValidations count="2">
    <dataValidation type="list" sqref="N10:N39">
      <formula1>"Not Executed,Pass,Fail,Blocked"</formula1>
    </dataValidation>
    <dataValidation type="list" sqref="N2:N39">
      <formula1>"Not Executed,Pass,Fail,Blocked"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4" width="30" customWidth="1"/>
    <col min="5" max="5" width="44" customWidth="1"/>
    <col min="6" max="6" width="34" customWidth="1"/>
    <col min="7" max="7" width="48" customWidth="1"/>
    <col min="8" max="8" width="34" customWidth="1"/>
    <col min="9" max="9" width="52" customWidth="1"/>
    <col min="10" max="10" width="14" customWidth="1"/>
    <col min="11" max="11" width="16" customWidth="1"/>
    <col min="12" max="12" width="12" customWidth="1"/>
    <col min="13" max="13" width="44" customWidth="1"/>
    <col min="14" max="14" width="16" customWidth="1"/>
    <col min="15" max="15" width="14" customWidth="1"/>
    <col min="16" max="16" width="10" customWidth="1"/>
    <col min="17" max="17" width="28" customWidth="1"/>
    <col min="18" max="18" width="24" customWidth="1"/>
    <col min="19" max="19" width="40" customWidth="1"/>
  </cols>
  <sheetData>
    <row r="1" ht="36" customHeight="1" spans="1:19" s="3" customFormat="1" x14ac:dyDescent="0.2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14</v>
      </c>
      <c r="K1" s="3" t="s">
        <v>35</v>
      </c>
      <c r="L1" s="3" t="s">
        <v>36</v>
      </c>
      <c r="M1" s="3" t="s">
        <v>37</v>
      </c>
      <c r="N1" s="3" t="s">
        <v>9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</row>
    <row r="2" spans="1:19" s="4" customFormat="1" x14ac:dyDescent="0.25">
      <c r="A2" s="5" t="s">
        <v>297</v>
      </c>
      <c r="B2" s="5" t="s">
        <v>44</v>
      </c>
      <c r="C2" s="5" t="s">
        <v>3</v>
      </c>
      <c r="D2" s="5" t="s">
        <v>58</v>
      </c>
      <c r="E2" s="5" t="s">
        <v>59</v>
      </c>
      <c r="F2" s="5" t="s">
        <v>298</v>
      </c>
      <c r="G2" s="5" t="s">
        <v>299</v>
      </c>
      <c r="H2" s="5" t="s">
        <v>62</v>
      </c>
      <c r="I2" s="5" t="s">
        <v>300</v>
      </c>
      <c r="J2" s="5" t="s">
        <v>20</v>
      </c>
      <c r="K2" s="6" t="s">
        <v>7</v>
      </c>
      <c r="L2" s="5" t="s">
        <v>51</v>
      </c>
      <c r="M2" s="5" t="s">
        <v>52</v>
      </c>
      <c r="N2" s="5" t="s">
        <v>10</v>
      </c>
      <c r="O2" s="5" t="s">
        <v>64</v>
      </c>
      <c r="P2" s="5" t="s">
        <v>54</v>
      </c>
      <c r="Q2" s="5" t="s">
        <v>55</v>
      </c>
      <c r="R2" s="5" t="s">
        <v>56</v>
      </c>
      <c r="S2" s="5" t="s">
        <v>52</v>
      </c>
    </row>
    <row r="3" spans="1:19" s="4" customFormat="1" x14ac:dyDescent="0.25">
      <c r="A3" s="5" t="s">
        <v>301</v>
      </c>
      <c r="B3" s="5" t="s">
        <v>44</v>
      </c>
      <c r="C3" s="5" t="s">
        <v>3</v>
      </c>
      <c r="D3" s="5" t="s">
        <v>302</v>
      </c>
      <c r="E3" s="5" t="s">
        <v>303</v>
      </c>
      <c r="F3" s="5" t="s">
        <v>304</v>
      </c>
      <c r="G3" s="5" t="s">
        <v>305</v>
      </c>
      <c r="H3" s="5" t="s">
        <v>62</v>
      </c>
      <c r="I3" s="5" t="s">
        <v>306</v>
      </c>
      <c r="J3" s="5" t="s">
        <v>16</v>
      </c>
      <c r="K3" s="6" t="s">
        <v>6</v>
      </c>
      <c r="L3" s="5" t="s">
        <v>51</v>
      </c>
      <c r="M3" s="5" t="s">
        <v>52</v>
      </c>
      <c r="N3" s="5" t="s">
        <v>10</v>
      </c>
      <c r="O3" s="5" t="s">
        <v>307</v>
      </c>
      <c r="P3" s="5" t="s">
        <v>54</v>
      </c>
      <c r="Q3" s="5" t="s">
        <v>55</v>
      </c>
      <c r="R3" s="5" t="s">
        <v>56</v>
      </c>
      <c r="S3" s="5" t="s">
        <v>52</v>
      </c>
    </row>
    <row r="4" spans="1:19" s="4" customFormat="1" x14ac:dyDescent="0.25">
      <c r="A4" s="5" t="s">
        <v>308</v>
      </c>
      <c r="B4" s="5" t="s">
        <v>44</v>
      </c>
      <c r="C4" s="5" t="s">
        <v>3</v>
      </c>
      <c r="D4" s="5" t="s">
        <v>45</v>
      </c>
      <c r="E4" s="5" t="s">
        <v>309</v>
      </c>
      <c r="F4" s="5" t="s">
        <v>310</v>
      </c>
      <c r="G4" s="5" t="s">
        <v>311</v>
      </c>
      <c r="H4" s="5" t="s">
        <v>312</v>
      </c>
      <c r="I4" s="5" t="s">
        <v>313</v>
      </c>
      <c r="J4" s="5" t="s">
        <v>18</v>
      </c>
      <c r="K4" s="6" t="s">
        <v>7</v>
      </c>
      <c r="L4" s="5" t="s">
        <v>51</v>
      </c>
      <c r="M4" s="5" t="s">
        <v>52</v>
      </c>
      <c r="N4" s="5" t="s">
        <v>10</v>
      </c>
      <c r="O4" s="5" t="s">
        <v>53</v>
      </c>
      <c r="P4" s="5" t="s">
        <v>54</v>
      </c>
      <c r="Q4" s="5" t="s">
        <v>55</v>
      </c>
      <c r="R4" s="5" t="s">
        <v>56</v>
      </c>
      <c r="S4" s="5" t="s">
        <v>52</v>
      </c>
    </row>
    <row r="5" spans="1:19" s="4" customFormat="1" x14ac:dyDescent="0.25">
      <c r="A5" s="5" t="s">
        <v>314</v>
      </c>
      <c r="B5" s="5" t="s">
        <v>44</v>
      </c>
      <c r="C5" s="5" t="s">
        <v>3</v>
      </c>
      <c r="D5" s="5" t="s">
        <v>66</v>
      </c>
      <c r="E5" s="5" t="s">
        <v>67</v>
      </c>
      <c r="F5" s="5" t="s">
        <v>310</v>
      </c>
      <c r="G5" s="5" t="s">
        <v>315</v>
      </c>
      <c r="H5" s="5" t="s">
        <v>316</v>
      </c>
      <c r="I5" s="5" t="s">
        <v>317</v>
      </c>
      <c r="J5" s="5" t="s">
        <v>20</v>
      </c>
      <c r="K5" s="6" t="s">
        <v>7</v>
      </c>
      <c r="L5" s="5" t="s">
        <v>51</v>
      </c>
      <c r="M5" s="5" t="s">
        <v>52</v>
      </c>
      <c r="N5" s="5" t="s">
        <v>10</v>
      </c>
      <c r="O5" s="5" t="s">
        <v>71</v>
      </c>
      <c r="P5" s="5" t="s">
        <v>54</v>
      </c>
      <c r="Q5" s="5" t="s">
        <v>55</v>
      </c>
      <c r="R5" s="5" t="s">
        <v>56</v>
      </c>
      <c r="S5" s="5" t="s">
        <v>52</v>
      </c>
    </row>
    <row r="6" spans="1:19" s="4" customFormat="1" x14ac:dyDescent="0.25">
      <c r="A6" s="5" t="s">
        <v>318</v>
      </c>
      <c r="B6" s="5" t="s">
        <v>44</v>
      </c>
      <c r="C6" s="5" t="s">
        <v>3</v>
      </c>
      <c r="D6" s="5" t="s">
        <v>319</v>
      </c>
      <c r="E6" s="5" t="s">
        <v>320</v>
      </c>
      <c r="F6" s="5" t="s">
        <v>310</v>
      </c>
      <c r="G6" s="5" t="s">
        <v>321</v>
      </c>
      <c r="H6" s="5" t="s">
        <v>322</v>
      </c>
      <c r="I6" s="5" t="s">
        <v>323</v>
      </c>
      <c r="J6" s="5" t="s">
        <v>18</v>
      </c>
      <c r="K6" s="6" t="s">
        <v>6</v>
      </c>
      <c r="L6" s="5" t="s">
        <v>77</v>
      </c>
      <c r="M6" s="5" t="s">
        <v>52</v>
      </c>
      <c r="N6" s="5" t="s">
        <v>10</v>
      </c>
      <c r="O6" s="5" t="s">
        <v>324</v>
      </c>
      <c r="P6" s="5" t="s">
        <v>79</v>
      </c>
      <c r="Q6" s="5" t="s">
        <v>80</v>
      </c>
      <c r="R6" s="5" t="s">
        <v>56</v>
      </c>
      <c r="S6" s="5" t="s">
        <v>52</v>
      </c>
    </row>
    <row r="7" spans="1:19" s="4" customFormat="1" x14ac:dyDescent="0.25">
      <c r="A7" s="5" t="s">
        <v>325</v>
      </c>
      <c r="B7" s="5" t="s">
        <v>44</v>
      </c>
      <c r="C7" s="5" t="s">
        <v>3</v>
      </c>
      <c r="D7" s="5" t="s">
        <v>82</v>
      </c>
      <c r="E7" s="5" t="s">
        <v>326</v>
      </c>
      <c r="F7" s="5" t="s">
        <v>310</v>
      </c>
      <c r="G7" s="5" t="s">
        <v>327</v>
      </c>
      <c r="H7" s="5" t="s">
        <v>328</v>
      </c>
      <c r="I7" s="5" t="s">
        <v>329</v>
      </c>
      <c r="J7" s="5" t="s">
        <v>21</v>
      </c>
      <c r="K7" s="6" t="s">
        <v>6</v>
      </c>
      <c r="L7" s="5" t="s">
        <v>51</v>
      </c>
      <c r="M7" s="5" t="s">
        <v>52</v>
      </c>
      <c r="N7" s="5" t="s">
        <v>10</v>
      </c>
      <c r="O7" s="5" t="s">
        <v>87</v>
      </c>
      <c r="P7" s="5" t="s">
        <v>54</v>
      </c>
      <c r="Q7" s="5" t="s">
        <v>88</v>
      </c>
      <c r="R7" s="5" t="s">
        <v>56</v>
      </c>
      <c r="S7" s="5" t="s">
        <v>52</v>
      </c>
    </row>
    <row r="8" spans="1:19" s="4" customFormat="1" x14ac:dyDescent="0.25">
      <c r="A8" s="5" t="s">
        <v>330</v>
      </c>
      <c r="B8" s="5" t="s">
        <v>44</v>
      </c>
      <c r="C8" s="5" t="s">
        <v>3</v>
      </c>
      <c r="D8" s="5" t="s">
        <v>90</v>
      </c>
      <c r="E8" s="5" t="s">
        <v>331</v>
      </c>
      <c r="F8" s="5" t="s">
        <v>310</v>
      </c>
      <c r="G8" s="5" t="s">
        <v>332</v>
      </c>
      <c r="H8" s="5" t="s">
        <v>333</v>
      </c>
      <c r="I8" s="5" t="s">
        <v>334</v>
      </c>
      <c r="J8" s="5" t="s">
        <v>21</v>
      </c>
      <c r="K8" s="6" t="s">
        <v>6</v>
      </c>
      <c r="L8" s="5" t="s">
        <v>51</v>
      </c>
      <c r="M8" s="5" t="s">
        <v>52</v>
      </c>
      <c r="N8" s="5" t="s">
        <v>10</v>
      </c>
      <c r="O8" s="5" t="s">
        <v>87</v>
      </c>
      <c r="P8" s="5" t="s">
        <v>54</v>
      </c>
      <c r="Q8" s="5" t="s">
        <v>95</v>
      </c>
      <c r="R8" s="5" t="s">
        <v>56</v>
      </c>
      <c r="S8" s="5" t="s">
        <v>335</v>
      </c>
    </row>
    <row r="9" spans="1:19" s="4" customFormat="1" x14ac:dyDescent="0.25">
      <c r="A9" s="5" t="s">
        <v>336</v>
      </c>
      <c r="B9" s="5" t="s">
        <v>44</v>
      </c>
      <c r="C9" s="5" t="s">
        <v>3</v>
      </c>
      <c r="D9" s="5" t="s">
        <v>97</v>
      </c>
      <c r="E9" s="5" t="s">
        <v>337</v>
      </c>
      <c r="F9" s="5" t="s">
        <v>310</v>
      </c>
      <c r="G9" s="5" t="s">
        <v>338</v>
      </c>
      <c r="H9" s="5" t="s">
        <v>339</v>
      </c>
      <c r="I9" s="5" t="s">
        <v>340</v>
      </c>
      <c r="J9" s="5" t="s">
        <v>21</v>
      </c>
      <c r="K9" s="6" t="s">
        <v>6</v>
      </c>
      <c r="L9" s="5" t="s">
        <v>51</v>
      </c>
      <c r="M9" s="5" t="s">
        <v>52</v>
      </c>
      <c r="N9" s="5" t="s">
        <v>10</v>
      </c>
      <c r="O9" s="5" t="s">
        <v>87</v>
      </c>
      <c r="P9" s="5" t="s">
        <v>54</v>
      </c>
      <c r="Q9" s="5" t="s">
        <v>95</v>
      </c>
      <c r="R9" s="5" t="s">
        <v>56</v>
      </c>
      <c r="S9" s="5" t="s">
        <v>52</v>
      </c>
    </row>
    <row r="10" spans="1:19" s="4" customFormat="1" x14ac:dyDescent="0.25">
      <c r="A10" s="5" t="s">
        <v>341</v>
      </c>
      <c r="B10" s="5" t="s">
        <v>44</v>
      </c>
      <c r="C10" s="5" t="s">
        <v>3</v>
      </c>
      <c r="D10" s="5" t="s">
        <v>109</v>
      </c>
      <c r="E10" s="5" t="s">
        <v>342</v>
      </c>
      <c r="F10" s="5" t="s">
        <v>310</v>
      </c>
      <c r="G10" s="5" t="s">
        <v>343</v>
      </c>
      <c r="H10" s="5" t="s">
        <v>344</v>
      </c>
      <c r="I10" s="5" t="s">
        <v>345</v>
      </c>
      <c r="J10" s="5" t="s">
        <v>17</v>
      </c>
      <c r="K10" s="6" t="s">
        <v>6</v>
      </c>
      <c r="L10" s="5" t="s">
        <v>51</v>
      </c>
      <c r="M10" s="5" t="s">
        <v>346</v>
      </c>
      <c r="N10" s="8" t="s">
        <v>12</v>
      </c>
      <c r="O10" s="5" t="s">
        <v>107</v>
      </c>
      <c r="P10" s="5" t="s">
        <v>54</v>
      </c>
      <c r="Q10" s="5" t="s">
        <v>347</v>
      </c>
      <c r="R10" s="5" t="s">
        <v>56</v>
      </c>
      <c r="S10" s="5" t="s">
        <v>348</v>
      </c>
    </row>
    <row r="11" spans="1:19" s="4" customFormat="1" x14ac:dyDescent="0.25">
      <c r="A11" s="5" t="s">
        <v>349</v>
      </c>
      <c r="B11" s="5" t="s">
        <v>44</v>
      </c>
      <c r="C11" s="5" t="s">
        <v>3</v>
      </c>
      <c r="D11" s="5" t="s">
        <v>350</v>
      </c>
      <c r="E11" s="5" t="s">
        <v>351</v>
      </c>
      <c r="F11" s="5" t="s">
        <v>310</v>
      </c>
      <c r="G11" s="5" t="s">
        <v>352</v>
      </c>
      <c r="H11" s="5" t="s">
        <v>353</v>
      </c>
      <c r="I11" s="5" t="s">
        <v>345</v>
      </c>
      <c r="J11" s="5" t="s">
        <v>17</v>
      </c>
      <c r="K11" s="6" t="s">
        <v>6</v>
      </c>
      <c r="L11" s="5" t="s">
        <v>77</v>
      </c>
      <c r="M11" s="5" t="s">
        <v>52</v>
      </c>
      <c r="N11" s="5" t="s">
        <v>10</v>
      </c>
      <c r="O11" s="5" t="s">
        <v>107</v>
      </c>
      <c r="P11" s="5" t="s">
        <v>54</v>
      </c>
      <c r="Q11" s="5" t="s">
        <v>347</v>
      </c>
      <c r="R11" s="5" t="s">
        <v>56</v>
      </c>
      <c r="S11" s="5" t="s">
        <v>354</v>
      </c>
    </row>
    <row r="12" spans="1:19" s="4" customFormat="1" x14ac:dyDescent="0.25">
      <c r="A12" s="5" t="s">
        <v>355</v>
      </c>
      <c r="B12" s="5" t="s">
        <v>44</v>
      </c>
      <c r="C12" s="5" t="s">
        <v>3</v>
      </c>
      <c r="D12" s="5" t="s">
        <v>137</v>
      </c>
      <c r="E12" s="5" t="s">
        <v>356</v>
      </c>
      <c r="F12" s="5" t="s">
        <v>310</v>
      </c>
      <c r="G12" s="5" t="s">
        <v>357</v>
      </c>
      <c r="H12" s="5" t="s">
        <v>358</v>
      </c>
      <c r="I12" s="5" t="s">
        <v>359</v>
      </c>
      <c r="J12" s="5" t="s">
        <v>17</v>
      </c>
      <c r="K12" s="6" t="s">
        <v>6</v>
      </c>
      <c r="L12" s="5" t="s">
        <v>51</v>
      </c>
      <c r="M12" s="5" t="s">
        <v>52</v>
      </c>
      <c r="N12" s="5" t="s">
        <v>10</v>
      </c>
      <c r="O12" s="5" t="s">
        <v>107</v>
      </c>
      <c r="P12" s="5" t="s">
        <v>54</v>
      </c>
      <c r="Q12" s="5" t="s">
        <v>88</v>
      </c>
      <c r="R12" s="5" t="s">
        <v>56</v>
      </c>
      <c r="S12" s="5" t="s">
        <v>52</v>
      </c>
    </row>
    <row r="13" spans="1:19" s="4" customFormat="1" x14ac:dyDescent="0.25">
      <c r="A13" s="5" t="s">
        <v>360</v>
      </c>
      <c r="B13" s="5" t="s">
        <v>44</v>
      </c>
      <c r="C13" s="5" t="s">
        <v>3</v>
      </c>
      <c r="D13" s="5" t="s">
        <v>164</v>
      </c>
      <c r="E13" s="5" t="s">
        <v>361</v>
      </c>
      <c r="F13" s="5" t="s">
        <v>193</v>
      </c>
      <c r="G13" s="5" t="s">
        <v>362</v>
      </c>
      <c r="H13" s="5" t="s">
        <v>312</v>
      </c>
      <c r="I13" s="5" t="s">
        <v>363</v>
      </c>
      <c r="J13" s="5" t="s">
        <v>16</v>
      </c>
      <c r="K13" s="6" t="s">
        <v>7</v>
      </c>
      <c r="L13" s="5" t="s">
        <v>51</v>
      </c>
      <c r="M13" s="5" t="s">
        <v>52</v>
      </c>
      <c r="N13" s="5" t="s">
        <v>10</v>
      </c>
      <c r="O13" s="5" t="s">
        <v>168</v>
      </c>
      <c r="P13" s="5" t="s">
        <v>54</v>
      </c>
      <c r="Q13" s="5" t="s">
        <v>55</v>
      </c>
      <c r="R13" s="5" t="s">
        <v>56</v>
      </c>
      <c r="S13" s="5" t="s">
        <v>52</v>
      </c>
    </row>
    <row r="14" spans="1:19" s="4" customFormat="1" x14ac:dyDescent="0.25">
      <c r="A14" s="5" t="s">
        <v>364</v>
      </c>
      <c r="B14" s="5" t="s">
        <v>44</v>
      </c>
      <c r="C14" s="5" t="s">
        <v>3</v>
      </c>
      <c r="D14" s="5" t="s">
        <v>365</v>
      </c>
      <c r="E14" s="5" t="s">
        <v>366</v>
      </c>
      <c r="F14" s="5" t="s">
        <v>193</v>
      </c>
      <c r="G14" s="5" t="s">
        <v>367</v>
      </c>
      <c r="H14" s="5" t="s">
        <v>312</v>
      </c>
      <c r="I14" s="5" t="s">
        <v>368</v>
      </c>
      <c r="J14" s="5" t="s">
        <v>16</v>
      </c>
      <c r="K14" s="6" t="s">
        <v>6</v>
      </c>
      <c r="L14" s="5" t="s">
        <v>77</v>
      </c>
      <c r="M14" s="5" t="s">
        <v>52</v>
      </c>
      <c r="N14" s="5" t="s">
        <v>10</v>
      </c>
      <c r="O14" s="5" t="s">
        <v>168</v>
      </c>
      <c r="P14" s="5" t="s">
        <v>79</v>
      </c>
      <c r="Q14" s="5" t="s">
        <v>80</v>
      </c>
      <c r="R14" s="5" t="s">
        <v>56</v>
      </c>
      <c r="S14" s="5" t="s">
        <v>52</v>
      </c>
    </row>
    <row r="15" spans="1:19" s="4" customFormat="1" x14ac:dyDescent="0.25">
      <c r="A15" s="5" t="s">
        <v>369</v>
      </c>
      <c r="B15" s="5" t="s">
        <v>44</v>
      </c>
      <c r="C15" s="5" t="s">
        <v>3</v>
      </c>
      <c r="D15" s="5" t="s">
        <v>370</v>
      </c>
      <c r="E15" s="5" t="s">
        <v>371</v>
      </c>
      <c r="F15" s="5" t="s">
        <v>172</v>
      </c>
      <c r="G15" s="5" t="s">
        <v>372</v>
      </c>
      <c r="H15" s="5" t="s">
        <v>312</v>
      </c>
      <c r="I15" s="5" t="s">
        <v>373</v>
      </c>
      <c r="J15" s="5" t="s">
        <v>16</v>
      </c>
      <c r="K15" s="6" t="s">
        <v>6</v>
      </c>
      <c r="L15" s="5" t="s">
        <v>77</v>
      </c>
      <c r="M15" s="5" t="s">
        <v>52</v>
      </c>
      <c r="N15" s="5" t="s">
        <v>10</v>
      </c>
      <c r="O15" s="5" t="s">
        <v>168</v>
      </c>
      <c r="P15" s="5" t="s">
        <v>79</v>
      </c>
      <c r="Q15" s="5" t="s">
        <v>80</v>
      </c>
      <c r="R15" s="5" t="s">
        <v>56</v>
      </c>
      <c r="S15" s="5" t="s">
        <v>52</v>
      </c>
    </row>
    <row r="16" spans="1:19" s="4" customFormat="1" x14ac:dyDescent="0.25">
      <c r="A16" s="5" t="s">
        <v>374</v>
      </c>
      <c r="B16" s="5" t="s">
        <v>44</v>
      </c>
      <c r="C16" s="5" t="s">
        <v>3</v>
      </c>
      <c r="D16" s="5" t="s">
        <v>375</v>
      </c>
      <c r="E16" s="5" t="s">
        <v>376</v>
      </c>
      <c r="F16" s="5" t="s">
        <v>377</v>
      </c>
      <c r="G16" s="5" t="s">
        <v>378</v>
      </c>
      <c r="H16" s="5" t="s">
        <v>62</v>
      </c>
      <c r="I16" s="5" t="s">
        <v>379</v>
      </c>
      <c r="J16" s="5" t="s">
        <v>19</v>
      </c>
      <c r="K16" s="6" t="s">
        <v>6</v>
      </c>
      <c r="L16" s="5" t="s">
        <v>77</v>
      </c>
      <c r="M16" s="5" t="s">
        <v>380</v>
      </c>
      <c r="N16" s="8" t="s">
        <v>12</v>
      </c>
      <c r="O16" s="5" t="s">
        <v>183</v>
      </c>
      <c r="P16" s="5" t="s">
        <v>54</v>
      </c>
      <c r="Q16" s="5" t="s">
        <v>228</v>
      </c>
      <c r="R16" s="5" t="s">
        <v>56</v>
      </c>
      <c r="S16" s="5" t="s">
        <v>381</v>
      </c>
    </row>
    <row r="17" spans="1:19" s="4" customFormat="1" x14ac:dyDescent="0.25">
      <c r="A17" s="5" t="s">
        <v>382</v>
      </c>
      <c r="B17" s="5" t="s">
        <v>44</v>
      </c>
      <c r="C17" s="5" t="s">
        <v>3</v>
      </c>
      <c r="D17" s="5" t="s">
        <v>383</v>
      </c>
      <c r="E17" s="5" t="s">
        <v>384</v>
      </c>
      <c r="F17" s="5" t="s">
        <v>385</v>
      </c>
      <c r="G17" s="5" t="s">
        <v>386</v>
      </c>
      <c r="H17" s="5" t="s">
        <v>62</v>
      </c>
      <c r="I17" s="5" t="s">
        <v>387</v>
      </c>
      <c r="J17" s="5" t="s">
        <v>16</v>
      </c>
      <c r="K17" s="6" t="s">
        <v>7</v>
      </c>
      <c r="L17" s="5" t="s">
        <v>134</v>
      </c>
      <c r="M17" s="5" t="s">
        <v>52</v>
      </c>
      <c r="N17" s="5" t="s">
        <v>10</v>
      </c>
      <c r="O17" s="5" t="s">
        <v>183</v>
      </c>
      <c r="P17" s="5" t="s">
        <v>79</v>
      </c>
      <c r="Q17" s="5" t="s">
        <v>80</v>
      </c>
      <c r="R17" s="5" t="s">
        <v>56</v>
      </c>
      <c r="S17" s="5" t="s">
        <v>388</v>
      </c>
    </row>
    <row r="18" spans="1:19" s="4" customFormat="1" x14ac:dyDescent="0.25">
      <c r="A18" s="5" t="s">
        <v>389</v>
      </c>
      <c r="B18" s="5" t="s">
        <v>44</v>
      </c>
      <c r="C18" s="5" t="s">
        <v>3</v>
      </c>
      <c r="D18" s="5" t="s">
        <v>390</v>
      </c>
      <c r="E18" s="5" t="s">
        <v>391</v>
      </c>
      <c r="F18" s="5" t="s">
        <v>172</v>
      </c>
      <c r="G18" s="5" t="s">
        <v>392</v>
      </c>
      <c r="H18" s="5" t="s">
        <v>312</v>
      </c>
      <c r="I18" s="5" t="s">
        <v>393</v>
      </c>
      <c r="J18" s="5" t="s">
        <v>19</v>
      </c>
      <c r="K18" s="6" t="s">
        <v>7</v>
      </c>
      <c r="L18" s="5" t="s">
        <v>134</v>
      </c>
      <c r="M18" s="5" t="s">
        <v>52</v>
      </c>
      <c r="N18" s="5" t="s">
        <v>10</v>
      </c>
      <c r="O18" s="5" t="s">
        <v>175</v>
      </c>
      <c r="P18" s="5" t="s">
        <v>79</v>
      </c>
      <c r="Q18" s="5" t="s">
        <v>176</v>
      </c>
      <c r="R18" s="5" t="s">
        <v>56</v>
      </c>
      <c r="S18" s="5" t="s">
        <v>394</v>
      </c>
    </row>
    <row r="19" spans="1:19" s="4" customFormat="1" x14ac:dyDescent="0.25">
      <c r="A19" s="5" t="s">
        <v>395</v>
      </c>
      <c r="B19" s="5" t="s">
        <v>44</v>
      </c>
      <c r="C19" s="5" t="s">
        <v>3</v>
      </c>
      <c r="D19" s="5" t="s">
        <v>396</v>
      </c>
      <c r="E19" s="5" t="s">
        <v>397</v>
      </c>
      <c r="F19" s="5" t="s">
        <v>310</v>
      </c>
      <c r="G19" s="5" t="s">
        <v>398</v>
      </c>
      <c r="H19" s="5" t="s">
        <v>399</v>
      </c>
      <c r="I19" s="5" t="s">
        <v>400</v>
      </c>
      <c r="J19" s="5" t="s">
        <v>21</v>
      </c>
      <c r="K19" s="6" t="s">
        <v>6</v>
      </c>
      <c r="L19" s="5" t="s">
        <v>134</v>
      </c>
      <c r="M19" s="5" t="s">
        <v>52</v>
      </c>
      <c r="N19" s="5" t="s">
        <v>10</v>
      </c>
      <c r="O19" s="5" t="s">
        <v>155</v>
      </c>
      <c r="P19" s="5" t="s">
        <v>135</v>
      </c>
      <c r="Q19" s="5" t="s">
        <v>95</v>
      </c>
      <c r="R19" s="5" t="s">
        <v>56</v>
      </c>
      <c r="S19" s="5" t="s">
        <v>401</v>
      </c>
    </row>
    <row r="20" spans="1:19" s="4" customFormat="1" x14ac:dyDescent="0.25">
      <c r="A20" s="5" t="s">
        <v>402</v>
      </c>
      <c r="B20" s="5" t="s">
        <v>44</v>
      </c>
      <c r="C20" s="5" t="s">
        <v>3</v>
      </c>
      <c r="D20" s="5" t="s">
        <v>203</v>
      </c>
      <c r="E20" s="5" t="s">
        <v>204</v>
      </c>
      <c r="F20" s="5" t="s">
        <v>310</v>
      </c>
      <c r="G20" s="5" t="s">
        <v>403</v>
      </c>
      <c r="H20" s="5" t="s">
        <v>206</v>
      </c>
      <c r="I20" s="5" t="s">
        <v>404</v>
      </c>
      <c r="J20" s="5" t="s">
        <v>19</v>
      </c>
      <c r="K20" s="6" t="s">
        <v>7</v>
      </c>
      <c r="L20" s="5" t="s">
        <v>134</v>
      </c>
      <c r="M20" s="5" t="s">
        <v>52</v>
      </c>
      <c r="N20" s="5" t="s">
        <v>10</v>
      </c>
      <c r="O20" s="5" t="s">
        <v>107</v>
      </c>
      <c r="P20" s="5" t="s">
        <v>79</v>
      </c>
      <c r="Q20" s="5" t="s">
        <v>405</v>
      </c>
      <c r="R20" s="5" t="s">
        <v>56</v>
      </c>
      <c r="S20" s="5" t="s">
        <v>406</v>
      </c>
    </row>
    <row r="21" spans="1:19" s="4" customFormat="1" x14ac:dyDescent="0.25">
      <c r="A21" s="5" t="s">
        <v>407</v>
      </c>
      <c r="B21" s="5" t="s">
        <v>44</v>
      </c>
      <c r="C21" s="5" t="s">
        <v>3</v>
      </c>
      <c r="D21" s="5" t="s">
        <v>408</v>
      </c>
      <c r="E21" s="5" t="s">
        <v>409</v>
      </c>
      <c r="F21" s="5" t="s">
        <v>193</v>
      </c>
      <c r="G21" s="5" t="s">
        <v>410</v>
      </c>
      <c r="H21" s="5" t="s">
        <v>312</v>
      </c>
      <c r="I21" s="5" t="s">
        <v>411</v>
      </c>
      <c r="J21" s="5" t="s">
        <v>16</v>
      </c>
      <c r="K21" s="7" t="s">
        <v>5</v>
      </c>
      <c r="L21" s="5" t="s">
        <v>154</v>
      </c>
      <c r="M21" s="5" t="s">
        <v>52</v>
      </c>
      <c r="N21" s="5" t="s">
        <v>10</v>
      </c>
      <c r="O21" s="5" t="s">
        <v>272</v>
      </c>
      <c r="P21" s="5" t="s">
        <v>135</v>
      </c>
      <c r="Q21" s="5" t="s">
        <v>52</v>
      </c>
      <c r="R21" s="5" t="s">
        <v>62</v>
      </c>
      <c r="S21" s="5" t="s">
        <v>52</v>
      </c>
    </row>
    <row r="22" spans="1:19" s="4" customFormat="1" x14ac:dyDescent="0.25">
      <c r="A22" s="5" t="s">
        <v>412</v>
      </c>
      <c r="B22" s="5" t="s">
        <v>44</v>
      </c>
      <c r="C22" s="5" t="s">
        <v>3</v>
      </c>
      <c r="D22" s="5" t="s">
        <v>237</v>
      </c>
      <c r="E22" s="5" t="s">
        <v>413</v>
      </c>
      <c r="F22" s="5" t="s">
        <v>310</v>
      </c>
      <c r="G22" s="5" t="s">
        <v>414</v>
      </c>
      <c r="H22" s="5" t="s">
        <v>415</v>
      </c>
      <c r="I22" s="5" t="s">
        <v>416</v>
      </c>
      <c r="J22" s="5" t="s">
        <v>17</v>
      </c>
      <c r="K22" s="7" t="s">
        <v>5</v>
      </c>
      <c r="L22" s="5" t="s">
        <v>154</v>
      </c>
      <c r="M22" s="5" t="s">
        <v>52</v>
      </c>
      <c r="N22" s="5" t="s">
        <v>10</v>
      </c>
      <c r="O22" s="5" t="s">
        <v>107</v>
      </c>
      <c r="P22" s="5" t="s">
        <v>135</v>
      </c>
      <c r="Q22" s="5" t="s">
        <v>52</v>
      </c>
      <c r="R22" s="5" t="s">
        <v>62</v>
      </c>
      <c r="S22" s="5" t="s">
        <v>52</v>
      </c>
    </row>
    <row r="23" spans="1:19" s="4" customFormat="1" x14ac:dyDescent="0.25">
      <c r="A23" s="5" t="s">
        <v>417</v>
      </c>
      <c r="B23" s="5" t="s">
        <v>44</v>
      </c>
      <c r="C23" s="5" t="s">
        <v>3</v>
      </c>
      <c r="D23" s="5" t="s">
        <v>418</v>
      </c>
      <c r="E23" s="5" t="s">
        <v>419</v>
      </c>
      <c r="F23" s="5" t="s">
        <v>310</v>
      </c>
      <c r="G23" s="5" t="s">
        <v>420</v>
      </c>
      <c r="H23" s="5" t="s">
        <v>312</v>
      </c>
      <c r="I23" s="5" t="s">
        <v>421</v>
      </c>
      <c r="J23" s="5" t="s">
        <v>20</v>
      </c>
      <c r="K23" s="7" t="s">
        <v>5</v>
      </c>
      <c r="L23" s="5" t="s">
        <v>154</v>
      </c>
      <c r="M23" s="5" t="s">
        <v>52</v>
      </c>
      <c r="N23" s="5" t="s">
        <v>10</v>
      </c>
      <c r="O23" s="5" t="s">
        <v>260</v>
      </c>
      <c r="P23" s="5" t="s">
        <v>135</v>
      </c>
      <c r="Q23" s="5" t="s">
        <v>52</v>
      </c>
      <c r="R23" s="5" t="s">
        <v>62</v>
      </c>
      <c r="S23" s="5" t="s">
        <v>52</v>
      </c>
    </row>
    <row r="24" spans="1:19" s="4" customFormat="1" x14ac:dyDescent="0.25">
      <c r="A24" s="5" t="s">
        <v>422</v>
      </c>
      <c r="B24" s="5" t="s">
        <v>44</v>
      </c>
      <c r="C24" s="5" t="s">
        <v>3</v>
      </c>
      <c r="D24" s="5" t="s">
        <v>423</v>
      </c>
      <c r="E24" s="5" t="s">
        <v>424</v>
      </c>
      <c r="F24" s="5" t="s">
        <v>310</v>
      </c>
      <c r="G24" s="5" t="s">
        <v>425</v>
      </c>
      <c r="H24" s="5" t="s">
        <v>62</v>
      </c>
      <c r="I24" s="5" t="s">
        <v>426</v>
      </c>
      <c r="J24" s="5" t="s">
        <v>20</v>
      </c>
      <c r="K24" s="7" t="s">
        <v>5</v>
      </c>
      <c r="L24" s="5" t="s">
        <v>154</v>
      </c>
      <c r="M24" s="5" t="s">
        <v>52</v>
      </c>
      <c r="N24" s="5" t="s">
        <v>10</v>
      </c>
      <c r="O24" s="5" t="s">
        <v>260</v>
      </c>
      <c r="P24" s="5" t="s">
        <v>135</v>
      </c>
      <c r="Q24" s="5" t="s">
        <v>52</v>
      </c>
      <c r="R24" s="5" t="s">
        <v>62</v>
      </c>
      <c r="S24" s="5" t="s">
        <v>52</v>
      </c>
    </row>
    <row r="25" spans="1:19" s="4" customFormat="1" x14ac:dyDescent="0.25">
      <c r="A25" s="5" t="s">
        <v>427</v>
      </c>
      <c r="B25" s="5" t="s">
        <v>44</v>
      </c>
      <c r="C25" s="5" t="s">
        <v>3</v>
      </c>
      <c r="D25" s="5" t="s">
        <v>428</v>
      </c>
      <c r="E25" s="5" t="s">
        <v>429</v>
      </c>
      <c r="F25" s="5" t="s">
        <v>430</v>
      </c>
      <c r="G25" s="5" t="s">
        <v>431</v>
      </c>
      <c r="H25" s="5" t="s">
        <v>62</v>
      </c>
      <c r="I25" s="5" t="s">
        <v>432</v>
      </c>
      <c r="J25" s="5" t="s">
        <v>20</v>
      </c>
      <c r="K25" s="7" t="s">
        <v>5</v>
      </c>
      <c r="L25" s="5" t="s">
        <v>154</v>
      </c>
      <c r="M25" s="5" t="s">
        <v>52</v>
      </c>
      <c r="N25" s="5" t="s">
        <v>10</v>
      </c>
      <c r="O25" s="5" t="s">
        <v>64</v>
      </c>
      <c r="P25" s="5" t="s">
        <v>135</v>
      </c>
      <c r="Q25" s="5" t="s">
        <v>52</v>
      </c>
      <c r="R25" s="5" t="s">
        <v>62</v>
      </c>
      <c r="S25" s="5" t="s">
        <v>52</v>
      </c>
    </row>
    <row r="26" spans="1:19" s="4" customFormat="1" x14ac:dyDescent="0.25">
      <c r="A26" s="5" t="s">
        <v>433</v>
      </c>
      <c r="B26" s="5" t="s">
        <v>44</v>
      </c>
      <c r="C26" s="5" t="s">
        <v>3</v>
      </c>
      <c r="D26" s="5" t="s">
        <v>434</v>
      </c>
      <c r="E26" s="5" t="s">
        <v>435</v>
      </c>
      <c r="F26" s="5" t="s">
        <v>310</v>
      </c>
      <c r="G26" s="5" t="s">
        <v>436</v>
      </c>
      <c r="H26" s="5" t="s">
        <v>437</v>
      </c>
      <c r="I26" s="5" t="s">
        <v>438</v>
      </c>
      <c r="J26" s="5" t="s">
        <v>18</v>
      </c>
      <c r="K26" s="7" t="s">
        <v>5</v>
      </c>
      <c r="L26" s="5" t="s">
        <v>154</v>
      </c>
      <c r="M26" s="5" t="s">
        <v>52</v>
      </c>
      <c r="N26" s="5" t="s">
        <v>10</v>
      </c>
      <c r="O26" s="5" t="s">
        <v>272</v>
      </c>
      <c r="P26" s="5" t="s">
        <v>135</v>
      </c>
      <c r="Q26" s="5" t="s">
        <v>52</v>
      </c>
      <c r="R26" s="5" t="s">
        <v>62</v>
      </c>
      <c r="S26" s="5" t="s">
        <v>52</v>
      </c>
    </row>
    <row r="27" spans="1:19" s="4" customFormat="1" x14ac:dyDescent="0.25">
      <c r="A27" s="5" t="s">
        <v>439</v>
      </c>
      <c r="B27" s="5" t="s">
        <v>44</v>
      </c>
      <c r="C27" s="5" t="s">
        <v>3</v>
      </c>
      <c r="D27" s="5" t="s">
        <v>440</v>
      </c>
      <c r="E27" s="5" t="s">
        <v>441</v>
      </c>
      <c r="F27" s="5" t="s">
        <v>310</v>
      </c>
      <c r="G27" s="5" t="s">
        <v>442</v>
      </c>
      <c r="H27" s="5" t="s">
        <v>62</v>
      </c>
      <c r="I27" s="5" t="s">
        <v>443</v>
      </c>
      <c r="J27" s="5" t="s">
        <v>19</v>
      </c>
      <c r="K27" s="7" t="s">
        <v>5</v>
      </c>
      <c r="L27" s="5" t="s">
        <v>154</v>
      </c>
      <c r="M27" s="5" t="s">
        <v>444</v>
      </c>
      <c r="N27" s="8" t="s">
        <v>12</v>
      </c>
      <c r="O27" s="5" t="s">
        <v>64</v>
      </c>
      <c r="P27" s="5" t="s">
        <v>135</v>
      </c>
      <c r="Q27" s="5" t="s">
        <v>52</v>
      </c>
      <c r="R27" s="5" t="s">
        <v>62</v>
      </c>
      <c r="S27" s="5" t="s">
        <v>445</v>
      </c>
    </row>
    <row r="28" spans="1:19" s="4" customFormat="1" x14ac:dyDescent="0.25">
      <c r="A28" s="5" t="s">
        <v>446</v>
      </c>
      <c r="B28" s="5" t="s">
        <v>44</v>
      </c>
      <c r="C28" s="5" t="s">
        <v>3</v>
      </c>
      <c r="D28" s="5" t="s">
        <v>447</v>
      </c>
      <c r="E28" s="5" t="s">
        <v>448</v>
      </c>
      <c r="F28" s="5" t="s">
        <v>449</v>
      </c>
      <c r="G28" s="5" t="s">
        <v>450</v>
      </c>
      <c r="H28" s="5" t="s">
        <v>62</v>
      </c>
      <c r="I28" s="5" t="s">
        <v>451</v>
      </c>
      <c r="J28" s="5" t="s">
        <v>20</v>
      </c>
      <c r="K28" s="7" t="s">
        <v>5</v>
      </c>
      <c r="L28" s="5" t="s">
        <v>154</v>
      </c>
      <c r="M28" s="5" t="s">
        <v>52</v>
      </c>
      <c r="N28" s="5" t="s">
        <v>10</v>
      </c>
      <c r="O28" s="5" t="s">
        <v>452</v>
      </c>
      <c r="P28" s="5" t="s">
        <v>135</v>
      </c>
      <c r="Q28" s="5" t="s">
        <v>52</v>
      </c>
      <c r="R28" s="5" t="s">
        <v>62</v>
      </c>
      <c r="S28" s="5" t="s">
        <v>52</v>
      </c>
    </row>
    <row r="29" spans="1:19" s="4" customFormat="1" x14ac:dyDescent="0.25">
      <c r="A29" s="5" t="s">
        <v>453</v>
      </c>
      <c r="B29" s="5" t="s">
        <v>44</v>
      </c>
      <c r="C29" s="5" t="s">
        <v>3</v>
      </c>
      <c r="D29" s="5" t="s">
        <v>454</v>
      </c>
      <c r="E29" s="5" t="s">
        <v>455</v>
      </c>
      <c r="F29" s="5" t="s">
        <v>456</v>
      </c>
      <c r="G29" s="5" t="s">
        <v>457</v>
      </c>
      <c r="H29" s="5" t="s">
        <v>312</v>
      </c>
      <c r="I29" s="5" t="s">
        <v>458</v>
      </c>
      <c r="J29" s="5" t="s">
        <v>19</v>
      </c>
      <c r="K29" s="7" t="s">
        <v>5</v>
      </c>
      <c r="L29" s="5" t="s">
        <v>154</v>
      </c>
      <c r="M29" s="5" t="s">
        <v>52</v>
      </c>
      <c r="N29" s="5" t="s">
        <v>10</v>
      </c>
      <c r="O29" s="5" t="s">
        <v>71</v>
      </c>
      <c r="P29" s="5" t="s">
        <v>135</v>
      </c>
      <c r="Q29" s="5" t="s">
        <v>52</v>
      </c>
      <c r="R29" s="5" t="s">
        <v>62</v>
      </c>
      <c r="S29" s="5" t="s">
        <v>52</v>
      </c>
    </row>
  </sheetData>
  <autoFilter ref="A1:S1"/>
  <dataValidations count="2">
    <dataValidation type="list" sqref="N10:N29">
      <formula1>"Not Executed,Pass,Fail,Blocked"</formula1>
    </dataValidation>
    <dataValidation type="list" sqref="N2:N29">
      <formula1>"Not Executed,Pass,Fail,Blocked"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8" customWidth="1"/>
    <col min="2" max="4" width="70" customWidth="1"/>
  </cols>
  <sheetData>
    <row r="1" spans="1:4" s="9" customFormat="1" x14ac:dyDescent="0.25">
      <c r="A1" s="9" t="s">
        <v>459</v>
      </c>
      <c r="B1" s="9" t="s">
        <v>460</v>
      </c>
      <c r="C1" s="9" t="s">
        <v>461</v>
      </c>
      <c r="D1" s="9" t="s">
        <v>462</v>
      </c>
    </row>
    <row r="2" spans="1:4" s="4" customFormat="1" x14ac:dyDescent="0.25">
      <c r="A2" s="4" t="s">
        <v>64</v>
      </c>
      <c r="B2" s="4" t="s">
        <v>463</v>
      </c>
      <c r="C2" s="4" t="s">
        <v>464</v>
      </c>
      <c r="D2" s="4" t="s">
        <v>465</v>
      </c>
    </row>
    <row r="3" spans="1:4" s="4" customFormat="1" x14ac:dyDescent="0.25">
      <c r="A3" s="4" t="s">
        <v>324</v>
      </c>
      <c r="B3" s="4" t="s">
        <v>466</v>
      </c>
      <c r="C3" s="4" t="s">
        <v>467</v>
      </c>
      <c r="D3" s="4" t="s">
        <v>468</v>
      </c>
    </row>
    <row r="4" spans="1:4" s="4" customFormat="1" x14ac:dyDescent="0.25">
      <c r="A4" s="4" t="s">
        <v>71</v>
      </c>
      <c r="B4" s="4" t="s">
        <v>469</v>
      </c>
      <c r="C4" s="4" t="s">
        <v>470</v>
      </c>
      <c r="D4" s="4" t="s">
        <v>471</v>
      </c>
    </row>
    <row r="5" spans="1:4" s="4" customFormat="1" x14ac:dyDescent="0.25">
      <c r="A5" s="4" t="s">
        <v>272</v>
      </c>
      <c r="B5" s="4" t="s">
        <v>472</v>
      </c>
      <c r="C5" s="4" t="s">
        <v>473</v>
      </c>
      <c r="D5" s="4" t="s">
        <v>474</v>
      </c>
    </row>
    <row r="6" spans="1:4" s="4" customFormat="1" x14ac:dyDescent="0.25">
      <c r="A6" s="4" t="s">
        <v>107</v>
      </c>
      <c r="B6" s="4" t="s">
        <v>475</v>
      </c>
      <c r="C6" s="4" t="s">
        <v>476</v>
      </c>
      <c r="D6" s="4" t="s">
        <v>477</v>
      </c>
    </row>
    <row r="7" spans="1:4" s="4" customFormat="1" x14ac:dyDescent="0.25">
      <c r="A7" s="4" t="s">
        <v>87</v>
      </c>
      <c r="B7" s="4" t="s">
        <v>478</v>
      </c>
      <c r="C7" s="4" t="s">
        <v>479</v>
      </c>
      <c r="D7" s="4" t="s">
        <v>480</v>
      </c>
    </row>
    <row r="8" spans="1:4" s="4" customFormat="1" x14ac:dyDescent="0.25">
      <c r="A8" s="4" t="s">
        <v>162</v>
      </c>
      <c r="B8" s="4" t="s">
        <v>481</v>
      </c>
      <c r="C8" s="4" t="s">
        <v>482</v>
      </c>
      <c r="D8" s="4" t="s">
        <v>483</v>
      </c>
    </row>
    <row r="9" spans="1:4" s="4" customFormat="1" x14ac:dyDescent="0.25">
      <c r="A9" s="4" t="s">
        <v>183</v>
      </c>
      <c r="B9" s="4" t="s">
        <v>484</v>
      </c>
      <c r="C9" s="4" t="s">
        <v>485</v>
      </c>
      <c r="D9" s="4" t="s">
        <v>486</v>
      </c>
    </row>
    <row r="10" spans="1:4" s="4" customFormat="1" x14ac:dyDescent="0.25">
      <c r="A10" s="4" t="s">
        <v>168</v>
      </c>
      <c r="B10" s="4" t="s">
        <v>487</v>
      </c>
      <c r="C10" s="4" t="s">
        <v>488</v>
      </c>
      <c r="D10" s="4" t="s">
        <v>489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Web</vt:lpstr>
      <vt:lpstr>Mobile</vt:lpstr>
      <vt:lpstr>AC Traceability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SnapWork QA</dc:creator>
  <dc:title/>
  <dc:subject/>
  <dc:description/>
  <cp:keywords/>
  <cp:category/>
  <cp:lastModifiedBy>Unknown</cp:lastModifiedBy>
  <dcterms:created xsi:type="dcterms:W3CDTF">2026-10-12T09:55:04Z</dcterms:created>
  <dcterms:modified xsi:type="dcterms:W3CDTF">2026-10-12T09:55:04Z</dcterms:modified>
</cp:coreProperties>
</file>